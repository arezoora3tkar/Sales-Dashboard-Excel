
<file path=[Content_Types].xml><?xml version="1.0" encoding="utf-8"?>
<Types xmlns="http://schemas.openxmlformats.org/package/2006/content-types">
  <Default Extension="bin" ContentType="application/vnd.openxmlformats-officedocument.spreadsheetml.printerSettings"/>
  <Default Extension="jfif"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drawings/drawing7.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8.xml" ContentType="application/vnd.openxmlformats-officedocument.drawingml.chartshapes+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9.xml" ContentType="application/vnd.openxmlformats-officedocument.drawingml.chartshapes+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0.xml" ContentType="application/vnd.openxmlformats-officedocument.drawingml.chartshapes+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1.xml" ContentType="application/vnd.openxmlformats-officedocument.drawingml.chartshapes+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harts/chart17.xml" ContentType="application/vnd.openxmlformats-officedocument.drawingml.chart+xml"/>
  <Override PartName="/xl/charts/style21.xml" ContentType="application/vnd.ms-office.chartstyle+xml"/>
  <Override PartName="/xl/charts/colors21.xml" ContentType="application/vnd.ms-office.chartcolorstyle+xml"/>
  <Override PartName="/xl/charts/chart18.xml" ContentType="application/vnd.openxmlformats-officedocument.drawingml.chart+xml"/>
  <Override PartName="/xl/charts/style22.xml" ContentType="application/vnd.ms-office.chartstyle+xml"/>
  <Override PartName="/xl/charts/colors22.xml" ContentType="application/vnd.ms-office.chartcolorstyle+xml"/>
  <Override PartName="/xl/charts/chartEx5.xml" ContentType="application/vnd.ms-office.chartex+xml"/>
  <Override PartName="/xl/charts/style23.xml" ContentType="application/vnd.ms-office.chartstyle+xml"/>
  <Override PartName="/xl/charts/colors23.xml" ContentType="application/vnd.ms-office.chartcolorstyle+xml"/>
  <Override PartName="/xl/charts/chartEx6.xml" ContentType="application/vnd.ms-office.chartex+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mc:AlternateContent xmlns:mc="http://schemas.openxmlformats.org/markup-compatibility/2006">
    <mc:Choice Requires="x15">
      <x15ac:absPath xmlns:x15ac="http://schemas.microsoft.com/office/spreadsheetml/2010/11/ac" url="E:\DataAnalysic\Projects__\Sales_Dashboard\"/>
    </mc:Choice>
  </mc:AlternateContent>
  <xr:revisionPtr revIDLastSave="0" documentId="13_ncr:1_{9150E543-1530-47D8-8915-7C260901C539}" xr6:coauthVersionLast="47" xr6:coauthVersionMax="47" xr10:uidLastSave="{00000000-0000-0000-0000-000000000000}"/>
  <bookViews>
    <workbookView xWindow="-108" yWindow="-108" windowWidth="23256" windowHeight="12576" activeTab="2" xr2:uid="{00000000-000D-0000-FFFF-FFFF00000000}"/>
  </bookViews>
  <sheets>
    <sheet name="Data" sheetId="1" r:id="rId1"/>
    <sheet name="PivotTable" sheetId="2" r:id="rId2"/>
    <sheet name="Dashboard" sheetId="5" r:id="rId3"/>
    <sheet name="pp" sheetId="6" r:id="rId4"/>
  </sheets>
  <definedNames>
    <definedName name="_xlchart.v2.0" hidden="1">PivotTable!$J$18:$J$22</definedName>
    <definedName name="_xlchart.v2.1" hidden="1">PivotTable!$K$18:$K$22</definedName>
    <definedName name="_xlchart.v2.11" hidden="1">PivotTable!$J$18:$J$22</definedName>
    <definedName name="_xlchart.v2.12" hidden="1">PivotTable!$K$18:$K$22</definedName>
    <definedName name="_xlchart.v2.13" hidden="1">PivotTable!$L$18:$L$22</definedName>
    <definedName name="_xlchart.v2.14" hidden="1">PivotTable!$J$18:$J$22</definedName>
    <definedName name="_xlchart.v2.15" hidden="1">PivotTable!$K$18:$K$22</definedName>
    <definedName name="_xlchart.v2.16" hidden="1">PivotTable!$L$18:$L$22</definedName>
    <definedName name="_xlchart.v2.2" hidden="1">PivotTable!$L$18:$L$22</definedName>
    <definedName name="_xlchart.v5.10" hidden="1">PivotTable!$N$18:$N$22</definedName>
    <definedName name="_xlchart.v5.17" hidden="1">PivotTable!$M$17</definedName>
    <definedName name="_xlchart.v5.18" hidden="1">PivotTable!$M$18:$M$22</definedName>
    <definedName name="_xlchart.v5.19" hidden="1">PivotTable!$N$17</definedName>
    <definedName name="_xlchart.v5.20" hidden="1">PivotTable!$N$18:$N$22</definedName>
    <definedName name="_xlchart.v5.3" hidden="1">PivotTable!$M$17</definedName>
    <definedName name="_xlchart.v5.4" hidden="1">PivotTable!$M$18:$M$22</definedName>
    <definedName name="_xlchart.v5.5" hidden="1">PivotTable!$N$17</definedName>
    <definedName name="_xlchart.v5.6" hidden="1">PivotTable!$N$18:$N$22</definedName>
    <definedName name="_xlchart.v5.7" hidden="1">PivotTable!$M$17</definedName>
    <definedName name="_xlchart.v5.8" hidden="1">PivotTable!$M$18:$M$22</definedName>
    <definedName name="_xlchart.v5.9" hidden="1">PivotTable!$N$17</definedName>
    <definedName name="Slicer_Month">#N/A</definedName>
    <definedName name="Slicer_Quarter">#N/A</definedName>
  </definedNames>
  <calcPr calcId="191029" concurrentCalc="0"/>
  <pivotCaches>
    <pivotCache cacheId="3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1" i="2" l="1"/>
  <c r="B29" i="2"/>
  <c r="B27" i="2"/>
  <c r="B25" i="2"/>
  <c r="B32" i="2"/>
  <c r="B35" i="2"/>
  <c r="B36" i="2"/>
  <c r="B38" i="2"/>
  <c r="B37" i="2"/>
  <c r="B30" i="2"/>
  <c r="B28" i="2"/>
  <c r="B26" i="2"/>
  <c r="M19" i="2"/>
  <c r="N19" i="2"/>
  <c r="M20" i="2"/>
  <c r="N20" i="2"/>
  <c r="M21" i="2"/>
  <c r="N21" i="2"/>
  <c r="M22" i="2"/>
  <c r="N22" i="2"/>
  <c r="M18" i="2"/>
  <c r="N18" i="2"/>
  <c r="J20" i="2"/>
  <c r="J19" i="2"/>
  <c r="K19" i="2"/>
  <c r="K20" i="2"/>
  <c r="J21" i="2"/>
  <c r="K21" i="2"/>
  <c r="J22" i="2"/>
  <c r="K22" i="2"/>
  <c r="J18" i="2"/>
  <c r="K18" i="2"/>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alcChain>
</file>

<file path=xl/sharedStrings.xml><?xml version="1.0" encoding="utf-8"?>
<sst xmlns="http://schemas.openxmlformats.org/spreadsheetml/2006/main" count="287" uniqueCount="63">
  <si>
    <t>Date</t>
  </si>
  <si>
    <t>Region</t>
  </si>
  <si>
    <t>Sales</t>
  </si>
  <si>
    <t>Profit</t>
  </si>
  <si>
    <t>Target Sales</t>
  </si>
  <si>
    <t>No of Customers</t>
  </si>
  <si>
    <t>Sales Completion Rate</t>
  </si>
  <si>
    <t>Profit Completion Rate</t>
  </si>
  <si>
    <t>Customer Completion Rate</t>
  </si>
  <si>
    <t>Country</t>
  </si>
  <si>
    <t>Customer Satisfaction</t>
  </si>
  <si>
    <t>Score</t>
  </si>
  <si>
    <t>East</t>
  </si>
  <si>
    <t>Argentina</t>
  </si>
  <si>
    <t>Speed</t>
  </si>
  <si>
    <t>West</t>
  </si>
  <si>
    <t>Colombia</t>
  </si>
  <si>
    <t>Quality</t>
  </si>
  <si>
    <t>South</t>
  </si>
  <si>
    <t>Brazil</t>
  </si>
  <si>
    <t>Hygiene</t>
  </si>
  <si>
    <t>Ecuador</t>
  </si>
  <si>
    <t>Peru</t>
  </si>
  <si>
    <t>Service</t>
  </si>
  <si>
    <t>North</t>
  </si>
  <si>
    <t>Availability</t>
  </si>
  <si>
    <t>Month</t>
  </si>
  <si>
    <t>Quarter</t>
  </si>
  <si>
    <t>Row Labels</t>
  </si>
  <si>
    <t>Jan</t>
  </si>
  <si>
    <t>Feb</t>
  </si>
  <si>
    <t>Mar</t>
  </si>
  <si>
    <t>Apr</t>
  </si>
  <si>
    <t>May</t>
  </si>
  <si>
    <t>Jun</t>
  </si>
  <si>
    <t>Jul</t>
  </si>
  <si>
    <t>Aug</t>
  </si>
  <si>
    <t>Sep</t>
  </si>
  <si>
    <t>Oct</t>
  </si>
  <si>
    <t>Nov</t>
  </si>
  <si>
    <t>Dec</t>
  </si>
  <si>
    <t>Grand Total</t>
  </si>
  <si>
    <t>Sum of Sales</t>
  </si>
  <si>
    <t>Sum of Target Sales</t>
  </si>
  <si>
    <t>Sales vs target sales by month</t>
  </si>
  <si>
    <t>No of custmers</t>
  </si>
  <si>
    <t xml:space="preserve">Profit vs sales by Region </t>
  </si>
  <si>
    <t>Sum of Profit</t>
  </si>
  <si>
    <t>Customer Satisfiction Score</t>
  </si>
  <si>
    <t>No of Customer by month</t>
  </si>
  <si>
    <t>Sum of Score</t>
  </si>
  <si>
    <t>Sales by country</t>
  </si>
  <si>
    <t>Values</t>
  </si>
  <si>
    <t>Average of Sales Completion Rate</t>
  </si>
  <si>
    <t>Average of Profit Completion Rate</t>
  </si>
  <si>
    <t>Average of Customer Completion Rate</t>
  </si>
  <si>
    <t>Pending</t>
  </si>
  <si>
    <t>Metrics</t>
  </si>
  <si>
    <t>Total</t>
  </si>
  <si>
    <t>KPI Workout</t>
  </si>
  <si>
    <t>ظ</t>
  </si>
  <si>
    <t>Sales vs Target</t>
  </si>
  <si>
    <t xml:space="preserv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</si>
</sst>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43" formatCode="_(* #,##0.00_);_(* \(#,##0.00\);_(* &quot;-&quot;??_);_(@_)"/>
    <numFmt numFmtId="164" formatCode="_(* #,##0_);_(* \(#,##0\);_(* &quot;-&quot;??_);_(@_)"/>
    <numFmt numFmtId="165" formatCode="0.0,&quot;k&quot;"/>
    <numFmt numFmtId="166" formatCode="_([$$-409]* #,##0_);_([$$-409]* \(#,##0\);_([$$-409]* &quot;-&quot;??_);_(@_)"/>
  </numFmts>
  <fonts count="7" x14ac:knownFonts="1">
    <font>
      <sz val="11"/>
      <color theme="1"/>
      <name val="Aptos Narrow"/>
      <family val="2"/>
      <scheme val="minor"/>
    </font>
    <font>
      <sz val="11"/>
      <color theme="1"/>
      <name val="Aptos Narrow"/>
      <family val="2"/>
      <scheme val="minor"/>
    </font>
    <font>
      <sz val="11"/>
      <color theme="1"/>
      <name val="Times New Roman"/>
      <family val="1"/>
    </font>
    <font>
      <sz val="11"/>
      <color theme="1"/>
      <name val="Times New Roman"/>
    </font>
    <font>
      <b/>
      <sz val="14"/>
      <color rgb="FFFF0000"/>
      <name val="Times New Roman"/>
      <family val="1"/>
    </font>
    <font>
      <sz val="11"/>
      <color theme="1"/>
      <name val="Calibri"/>
      <family val="2"/>
    </font>
    <font>
      <sz val="11"/>
      <color theme="1"/>
      <name val="B Nazanin"/>
      <charset val="178"/>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7">
    <xf numFmtId="0" fontId="0" fillId="0" borderId="0" xfId="0"/>
    <xf numFmtId="14" fontId="0" fillId="0" borderId="0" xfId="0" applyNumberFormat="1"/>
    <xf numFmtId="164" fontId="0" fillId="0" borderId="0" xfId="1" applyNumberFormat="1" applyFont="1"/>
    <xf numFmtId="0" fontId="0" fillId="0" borderId="0" xfId="0" applyAlignment="1">
      <alignment horizontal="center" vertical="center"/>
    </xf>
    <xf numFmtId="14" fontId="0" fillId="0" borderId="0" xfId="0" applyNumberFormat="1" applyAlignment="1">
      <alignment horizontal="center" vertical="center"/>
    </xf>
    <xf numFmtId="164" fontId="0" fillId="0" borderId="0" xfId="1" applyNumberFormat="1" applyFont="1" applyAlignment="1">
      <alignment horizontal="center" vertical="center"/>
    </xf>
    <xf numFmtId="0" fontId="2" fillId="0" borderId="0" xfId="0" applyFont="1"/>
    <xf numFmtId="0" fontId="2" fillId="0" borderId="0" xfId="0" applyFont="1" applyAlignment="1">
      <alignment horizontal="left"/>
    </xf>
    <xf numFmtId="165" fontId="2" fillId="0" borderId="0" xfId="0" applyNumberFormat="1" applyFont="1"/>
    <xf numFmtId="0" fontId="3" fillId="0" borderId="0" xfId="0" applyFont="1" applyAlignment="1">
      <alignment horizontal="left"/>
    </xf>
    <xf numFmtId="9" fontId="0" fillId="0" borderId="0" xfId="3" applyFont="1"/>
    <xf numFmtId="166" fontId="2" fillId="0" borderId="0" xfId="0" applyNumberFormat="1" applyFont="1"/>
    <xf numFmtId="166" fontId="2" fillId="0" borderId="0" xfId="2" applyNumberFormat="1" applyFont="1"/>
    <xf numFmtId="0" fontId="2" fillId="0" borderId="0" xfId="2" applyNumberFormat="1" applyFont="1"/>
    <xf numFmtId="0" fontId="4" fillId="0" borderId="0" xfId="0" applyFont="1"/>
    <xf numFmtId="0" fontId="2" fillId="2" borderId="0" xfId="0" applyFont="1" applyFill="1"/>
    <xf numFmtId="0" fontId="2" fillId="2" borderId="0" xfId="0" applyFont="1" applyFill="1" applyAlignment="1">
      <alignment horizontal="left"/>
    </xf>
    <xf numFmtId="0" fontId="0" fillId="2" borderId="0" xfId="0" applyFill="1"/>
    <xf numFmtId="165" fontId="2" fillId="2" borderId="0" xfId="0" applyNumberFormat="1" applyFont="1" applyFill="1"/>
    <xf numFmtId="0" fontId="5" fillId="0" borderId="0" xfId="0" applyFont="1"/>
    <xf numFmtId="0" fontId="6" fillId="0" borderId="0" xfId="0" applyFont="1"/>
    <xf numFmtId="9" fontId="0" fillId="0" borderId="0" xfId="0" applyNumberFormat="1"/>
    <xf numFmtId="0" fontId="3" fillId="0" borderId="0" xfId="0" pivotButton="1" applyFont="1"/>
    <xf numFmtId="0" fontId="3" fillId="0" borderId="0" xfId="0" applyFont="1"/>
    <xf numFmtId="0" fontId="3" fillId="0" borderId="0" xfId="0" applyNumberFormat="1" applyFont="1"/>
    <xf numFmtId="165" fontId="3" fillId="0" borderId="0" xfId="0" applyNumberFormat="1" applyFont="1"/>
    <xf numFmtId="9" fontId="3" fillId="0" borderId="0" xfId="0" applyNumberFormat="1" applyFont="1"/>
  </cellXfs>
  <cellStyles count="4">
    <cellStyle name="Comma" xfId="1" builtinId="3"/>
    <cellStyle name="Currency" xfId="2" builtinId="4"/>
    <cellStyle name="Normal" xfId="0" builtinId="0"/>
    <cellStyle name="Percent" xfId="3" builtinId="5"/>
  </cellStyles>
  <dxfs count="293">
    <dxf>
      <font>
        <name val="Times New Roman"/>
        <scheme val="none"/>
      </font>
    </dxf>
    <dxf>
      <font>
        <name val="Times New Roman"/>
        <scheme val="none"/>
      </font>
    </dxf>
    <dxf>
      <font>
        <name val="Times New Roman"/>
        <scheme val="none"/>
      </font>
    </dxf>
    <dxf>
      <font>
        <name val="Times New Roman"/>
        <scheme val="none"/>
      </font>
    </dxf>
    <dxf>
      <numFmt numFmtId="13" formatCode="0%"/>
    </dxf>
    <dxf>
      <font>
        <name val="Times New Roman"/>
        <scheme val="none"/>
      </font>
    </dxf>
    <dxf>
      <font>
        <name val="Times New Roman"/>
        <scheme val="none"/>
      </font>
    </dxf>
    <dxf>
      <font>
        <name val="Times New Roman"/>
        <scheme val="none"/>
      </font>
    </dxf>
    <dxf>
      <font>
        <name val="Times New Roman"/>
        <scheme val="none"/>
      </font>
    </dxf>
    <dxf>
      <numFmt numFmtId="165" formatCode="0.0,&quot;k&quot;"/>
    </dxf>
    <dxf>
      <numFmt numFmtId="0" formatCode="General"/>
    </dxf>
    <dxf>
      <numFmt numFmtId="165" formatCode="0.0,&quot;k&quot;"/>
    </dxf>
    <dxf>
      <font>
        <name val="Times New Roman"/>
        <scheme val="none"/>
      </font>
    </dxf>
    <dxf>
      <font>
        <name val="Times New Roman"/>
        <scheme val="none"/>
      </font>
    </dxf>
    <dxf>
      <font>
        <name val="Times New Roman"/>
        <scheme val="none"/>
      </font>
    </dxf>
    <dxf>
      <font>
        <name val="Times New Roman"/>
        <scheme val="none"/>
      </font>
    </dxf>
    <dxf>
      <numFmt numFmtId="165" formatCode="0.0,&quot;k&quot;"/>
    </dxf>
    <dxf>
      <numFmt numFmtId="0" formatCode="General"/>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5" formatCode="0.0,&quot;k&quo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0" formatCode="General"/>
    </dxf>
    <dxf>
      <numFmt numFmtId="165" formatCode="0.0,&quot;k&quot;"/>
    </dxf>
    <dxf>
      <numFmt numFmtId="0" formatCode="General"/>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0" formatCode="General"/>
    </dxf>
    <dxf>
      <numFmt numFmtId="165" formatCode="0.0,&quot;k&quot;"/>
    </dxf>
    <dxf>
      <font>
        <name val="Times New Roman"/>
        <scheme val="none"/>
      </font>
    </dxf>
    <dxf>
      <font>
        <name val="Times New Roman"/>
        <scheme val="none"/>
      </font>
    </dxf>
    <dxf>
      <font>
        <name val="Times New Roman"/>
        <scheme val="none"/>
      </font>
    </dxf>
    <dxf>
      <font>
        <name val="Times New Roman"/>
        <scheme val="none"/>
      </font>
    </dxf>
    <dxf>
      <numFmt numFmtId="13" formatCode="0%"/>
    </dxf>
    <dxf>
      <font>
        <name val="Times New Roman"/>
        <scheme val="none"/>
      </font>
    </dxf>
    <dxf>
      <font>
        <name val="Times New Roman"/>
        <scheme val="none"/>
      </font>
    </dxf>
    <dxf>
      <font>
        <name val="Times New Roman"/>
        <scheme val="none"/>
      </font>
    </dxf>
    <dxf>
      <font>
        <name val="Times New Roman"/>
        <scheme val="none"/>
      </font>
    </dxf>
    <dxf>
      <numFmt numFmtId="165" formatCode="0.0,&quot;k&quot;"/>
    </dxf>
    <dxf>
      <numFmt numFmtId="0" formatCode="General"/>
    </dxf>
    <dxf>
      <numFmt numFmtId="165" formatCode="0.0,&quot;k&quot;"/>
    </dxf>
    <dxf>
      <font>
        <name val="Times New Roman"/>
        <scheme val="none"/>
      </font>
    </dxf>
    <dxf>
      <font>
        <name val="Times New Roman"/>
        <scheme val="none"/>
      </font>
    </dxf>
    <dxf>
      <font>
        <name val="Times New Roman"/>
        <scheme val="none"/>
      </font>
    </dxf>
    <dxf>
      <font>
        <name val="Times New Roman"/>
        <scheme val="none"/>
      </font>
    </dxf>
    <dxf>
      <numFmt numFmtId="165" formatCode="0.0,&quot;k&quot;"/>
    </dxf>
    <dxf>
      <numFmt numFmtId="0" formatCode="General"/>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5" formatCode="0.0,&quot;k&quo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0" formatCode="General"/>
    </dxf>
    <dxf>
      <numFmt numFmtId="165" formatCode="0.0,&quot;k&quot;"/>
    </dxf>
    <dxf>
      <numFmt numFmtId="0" formatCode="General"/>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0" formatCode="General"/>
    </dxf>
    <dxf>
      <numFmt numFmtId="165" formatCode="0.0,&quot;k&quot;"/>
    </dxf>
    <dxf>
      <font>
        <name val="Times New Roman"/>
        <scheme val="none"/>
      </font>
    </dxf>
    <dxf>
      <font>
        <name val="Times New Roman"/>
        <scheme val="none"/>
      </font>
    </dxf>
    <dxf>
      <font>
        <name val="Times New Roman"/>
        <scheme val="none"/>
      </font>
    </dxf>
    <dxf>
      <font>
        <name val="Times New Roman"/>
        <scheme val="none"/>
      </font>
    </dxf>
    <dxf>
      <numFmt numFmtId="13" formatCode="0%"/>
    </dxf>
    <dxf>
      <font>
        <name val="Times New Roman"/>
        <scheme val="none"/>
      </font>
    </dxf>
    <dxf>
      <font>
        <name val="Times New Roman"/>
        <scheme val="none"/>
      </font>
    </dxf>
    <dxf>
      <font>
        <name val="Times New Roman"/>
        <scheme val="none"/>
      </font>
    </dxf>
    <dxf>
      <font>
        <name val="Times New Roman"/>
        <scheme val="none"/>
      </font>
    </dxf>
    <dxf>
      <numFmt numFmtId="165" formatCode="0.0,&quot;k&quot;"/>
    </dxf>
    <dxf>
      <numFmt numFmtId="0" formatCode="General"/>
    </dxf>
    <dxf>
      <numFmt numFmtId="165" formatCode="0.0,&quot;k&quot;"/>
    </dxf>
    <dxf>
      <font>
        <name val="Times New Roman"/>
        <scheme val="none"/>
      </font>
    </dxf>
    <dxf>
      <font>
        <name val="Times New Roman"/>
        <scheme val="none"/>
      </font>
    </dxf>
    <dxf>
      <font>
        <name val="Times New Roman"/>
        <scheme val="none"/>
      </font>
    </dxf>
    <dxf>
      <font>
        <name val="Times New Roman"/>
        <scheme val="none"/>
      </font>
    </dxf>
    <dxf>
      <numFmt numFmtId="165" formatCode="0.0,&quot;k&quot;"/>
    </dxf>
    <dxf>
      <numFmt numFmtId="0" formatCode="General"/>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5" formatCode="0.0,&quot;k&quo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0" formatCode="General"/>
    </dxf>
    <dxf>
      <numFmt numFmtId="165" formatCode="0.0,&quot;k&quot;"/>
    </dxf>
    <dxf>
      <numFmt numFmtId="0" formatCode="General"/>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0" formatCode="General"/>
    </dxf>
    <dxf>
      <numFmt numFmtId="165" formatCode="0.0,&quot;k&quot;"/>
    </dxf>
    <dxf>
      <font>
        <name val="Times New Roman"/>
        <scheme val="none"/>
      </font>
    </dxf>
    <dxf>
      <font>
        <name val="Times New Roman"/>
        <scheme val="none"/>
      </font>
    </dxf>
    <dxf>
      <font>
        <name val="Times New Roman"/>
        <scheme val="none"/>
      </font>
    </dxf>
    <dxf>
      <font>
        <name val="Times New Roman"/>
        <scheme val="none"/>
      </font>
    </dxf>
    <dxf>
      <numFmt numFmtId="13" formatCode="0%"/>
    </dxf>
    <dxf>
      <font>
        <name val="Times New Roman"/>
        <scheme val="none"/>
      </font>
    </dxf>
    <dxf>
      <font>
        <name val="Times New Roman"/>
        <scheme val="none"/>
      </font>
    </dxf>
    <dxf>
      <font>
        <name val="Times New Roman"/>
        <scheme val="none"/>
      </font>
    </dxf>
    <dxf>
      <font>
        <name val="Times New Roman"/>
        <scheme val="none"/>
      </font>
    </dxf>
    <dxf>
      <numFmt numFmtId="165" formatCode="0.0,&quot;k&quot;"/>
    </dxf>
    <dxf>
      <numFmt numFmtId="0" formatCode="General"/>
    </dxf>
    <dxf>
      <numFmt numFmtId="165" formatCode="0.0,&quot;k&quot;"/>
    </dxf>
    <dxf>
      <font>
        <name val="Times New Roman"/>
        <scheme val="none"/>
      </font>
    </dxf>
    <dxf>
      <font>
        <name val="Times New Roman"/>
        <scheme val="none"/>
      </font>
    </dxf>
    <dxf>
      <font>
        <name val="Times New Roman"/>
        <scheme val="none"/>
      </font>
    </dxf>
    <dxf>
      <font>
        <name val="Times New Roman"/>
        <scheme val="none"/>
      </font>
    </dxf>
    <dxf>
      <numFmt numFmtId="165" formatCode="0.0,&quot;k&quot;"/>
    </dxf>
    <dxf>
      <numFmt numFmtId="0" formatCode="General"/>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5" formatCode="0.0,&quot;k&quo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0" formatCode="General"/>
    </dxf>
    <dxf>
      <numFmt numFmtId="165" formatCode="0.0,&quot;k&quot;"/>
    </dxf>
    <dxf>
      <numFmt numFmtId="0" formatCode="General"/>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0" formatCode="General"/>
    </dxf>
    <dxf>
      <numFmt numFmtId="165" formatCode="0.0,&quot;k&quot;"/>
    </dxf>
    <dxf>
      <font>
        <name val="Times New Roman"/>
        <scheme val="none"/>
      </font>
    </dxf>
    <dxf>
      <font>
        <name val="Times New Roman"/>
        <scheme val="none"/>
      </font>
    </dxf>
    <dxf>
      <font>
        <name val="Times New Roman"/>
        <scheme val="none"/>
      </font>
    </dxf>
    <dxf>
      <font>
        <name val="Times New Roman"/>
        <scheme val="none"/>
      </font>
    </dxf>
    <dxf>
      <numFmt numFmtId="13" formatCode="0%"/>
    </dxf>
    <dxf>
      <font>
        <name val="Times New Roman"/>
        <scheme val="none"/>
      </font>
    </dxf>
    <dxf>
      <font>
        <name val="Times New Roman"/>
        <scheme val="none"/>
      </font>
    </dxf>
    <dxf>
      <font>
        <name val="Times New Roman"/>
        <scheme val="none"/>
      </font>
    </dxf>
    <dxf>
      <font>
        <name val="Times New Roman"/>
        <scheme val="none"/>
      </font>
    </dxf>
    <dxf>
      <numFmt numFmtId="165" formatCode="0.0,&quot;k&quot;"/>
    </dxf>
    <dxf>
      <numFmt numFmtId="0" formatCode="General"/>
    </dxf>
    <dxf>
      <numFmt numFmtId="165" formatCode="0.0,&quot;k&quot;"/>
    </dxf>
    <dxf>
      <font>
        <name val="Times New Roman"/>
        <scheme val="none"/>
      </font>
    </dxf>
    <dxf>
      <font>
        <name val="Times New Roman"/>
        <scheme val="none"/>
      </font>
    </dxf>
    <dxf>
      <font>
        <name val="Times New Roman"/>
        <scheme val="none"/>
      </font>
    </dxf>
    <dxf>
      <font>
        <name val="Times New Roman"/>
        <scheme val="none"/>
      </font>
    </dxf>
    <dxf>
      <numFmt numFmtId="165" formatCode="0.0,&quot;k&quot;"/>
    </dxf>
    <dxf>
      <numFmt numFmtId="0" formatCode="General"/>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5" formatCode="0.0,&quot;k&quo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0" formatCode="General"/>
    </dxf>
    <dxf>
      <numFmt numFmtId="165" formatCode="0.0,&quot;k&quot;"/>
    </dxf>
    <dxf>
      <numFmt numFmtId="0" formatCode="General"/>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0" formatCode="General"/>
    </dxf>
    <dxf>
      <numFmt numFmtId="165" formatCode="0.0,&quot;k&quot;"/>
    </dxf>
    <dxf>
      <font>
        <name val="Times New Roman"/>
        <scheme val="none"/>
      </font>
    </dxf>
    <dxf>
      <font>
        <name val="Times New Roman"/>
        <scheme val="none"/>
      </font>
    </dxf>
    <dxf>
      <font>
        <name val="Times New Roman"/>
        <scheme val="none"/>
      </font>
    </dxf>
    <dxf>
      <font>
        <name val="Times New Roman"/>
        <scheme val="none"/>
      </font>
    </dxf>
    <dxf>
      <numFmt numFmtId="13" formatCode="0%"/>
    </dxf>
    <dxf>
      <font>
        <name val="Times New Roman"/>
        <scheme val="none"/>
      </font>
    </dxf>
    <dxf>
      <font>
        <name val="Times New Roman"/>
        <scheme val="none"/>
      </font>
    </dxf>
    <dxf>
      <font>
        <name val="Times New Roman"/>
        <scheme val="none"/>
      </font>
    </dxf>
    <dxf>
      <font>
        <name val="Times New Roman"/>
        <scheme val="none"/>
      </font>
    </dxf>
    <dxf>
      <numFmt numFmtId="165" formatCode="0.0,&quot;k&quot;"/>
    </dxf>
    <dxf>
      <numFmt numFmtId="0" formatCode="General"/>
    </dxf>
    <dxf>
      <numFmt numFmtId="165" formatCode="0.0,&quot;k&quot;"/>
    </dxf>
    <dxf>
      <font>
        <name val="Times New Roman"/>
        <scheme val="none"/>
      </font>
    </dxf>
    <dxf>
      <font>
        <name val="Times New Roman"/>
        <scheme val="none"/>
      </font>
    </dxf>
    <dxf>
      <font>
        <name val="Times New Roman"/>
        <scheme val="none"/>
      </font>
    </dxf>
    <dxf>
      <font>
        <name val="Times New Roman"/>
        <scheme val="none"/>
      </font>
    </dxf>
    <dxf>
      <numFmt numFmtId="165" formatCode="0.0,&quot;k&quot;"/>
    </dxf>
    <dxf>
      <numFmt numFmtId="0" formatCode="General"/>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5" formatCode="0.0,&quot;k&quo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0" formatCode="General"/>
    </dxf>
    <dxf>
      <numFmt numFmtId="165" formatCode="0.0,&quot;k&quot;"/>
    </dxf>
    <dxf>
      <numFmt numFmtId="0" formatCode="General"/>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0" formatCode="General"/>
    </dxf>
    <dxf>
      <numFmt numFmtId="165" formatCode="0.0,&quot;k&quot;"/>
    </dxf>
    <dxf>
      <numFmt numFmtId="0" formatCode="General"/>
    </dxf>
    <dxf>
      <numFmt numFmtId="165" formatCode="0.0,&quot;k&quot;"/>
    </dxf>
    <dxf>
      <font>
        <name val="Times New Roman"/>
        <scheme val="none"/>
      </font>
    </dxf>
    <dxf>
      <font>
        <name val="Times New Roman"/>
        <scheme val="none"/>
      </font>
    </dxf>
    <dxf>
      <font>
        <name val="Times New Roman"/>
        <scheme val="none"/>
      </font>
    </dxf>
    <dxf>
      <font>
        <name val="Times New Roman"/>
        <scheme val="none"/>
      </font>
    </dxf>
    <dxf>
      <numFmt numFmtId="13" formatCode="0%"/>
    </dxf>
    <dxf>
      <font>
        <name val="Times New Roman"/>
        <scheme val="none"/>
      </font>
    </dxf>
    <dxf>
      <font>
        <name val="Times New Roman"/>
        <scheme val="none"/>
      </font>
    </dxf>
    <dxf>
      <font>
        <name val="Times New Roman"/>
        <scheme val="none"/>
      </font>
    </dxf>
    <dxf>
      <font>
        <name val="Times New Roman"/>
        <scheme val="none"/>
      </font>
    </dxf>
    <dxf>
      <numFmt numFmtId="165" formatCode="0.0,&quot;k&quo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0" formatCode="General"/>
    </dxf>
    <dxf>
      <numFmt numFmtId="165" formatCode="0.0,&quot;k&quot;"/>
    </dxf>
    <dxf>
      <numFmt numFmtId="0" formatCode="General"/>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5" formatCode="0.0,&quot;k&quot;"/>
    </dxf>
    <dxf>
      <numFmt numFmtId="0" formatCode="General"/>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numFmt numFmtId="165" formatCode="0.0,&quot;k&quot;"/>
    </dxf>
    <dxf>
      <numFmt numFmtId="0" formatCode="General"/>
    </dxf>
    <dxf>
      <numFmt numFmtId="165" formatCode="0.0,&quot;k&quot;"/>
    </dxf>
    <dxf>
      <font>
        <name val="Times New Roman"/>
        <scheme val="none"/>
      </font>
    </dxf>
    <dxf>
      <font>
        <name val="Times New Roman"/>
        <scheme val="none"/>
      </font>
    </dxf>
    <dxf>
      <font>
        <name val="Times New Roman"/>
        <scheme val="none"/>
      </font>
    </dxf>
    <dxf>
      <font>
        <name val="Times New Roman"/>
        <scheme val="none"/>
      </font>
    </dxf>
    <dxf>
      <numFmt numFmtId="0" formatCode="General"/>
    </dxf>
    <dxf>
      <numFmt numFmtId="0" formatCode="Genera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_(* #,##0_);_(* \(#,##0\);_(* &quot;-&quot;??_);_(@_)"/>
      <alignment horizontal="center" vertical="center" textRotation="0" wrapText="0" indent="0" justifyLastLine="0" shrinkToFit="0" readingOrder="0"/>
    </dxf>
    <dxf>
      <numFmt numFmtId="164" formatCode="_(* #,##0_);_(* \(#,##0\);_(* &quot;-&quot;??_);_(@_)"/>
      <alignment horizontal="center" vertical="center" textRotation="0" wrapText="0" indent="0" justifyLastLine="0" shrinkToFit="0" readingOrder="0"/>
    </dxf>
    <dxf>
      <numFmt numFmtId="164" formatCode="_(* #,##0_);_(* \(#,##0\);_(* &quot;-&quot;??_);_(@_)"/>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font>
        <b/>
        <i val="0"/>
        <sz val="16"/>
        <color auto="1"/>
        <name val="Times New Roman"/>
        <family val="1"/>
        <scheme val="none"/>
      </font>
    </dxf>
    <dxf>
      <font>
        <b/>
        <i val="0"/>
        <sz val="14"/>
        <color theme="0"/>
        <name val="Times New Roman"/>
        <family val="1"/>
        <scheme val="none"/>
      </font>
    </dxf>
  </dxfs>
  <tableStyles count="1" defaultTableStyle="TableStyleMedium2" defaultPivotStyle="PivotStyleLight16">
    <tableStyle name="Slicer Style 1" pivot="0" table="0" count="5" xr9:uid="{B51428DC-B847-4543-B6D7-C7C7B98B6BBB}">
      <tableStyleElement type="wholeTable" dxfId="292"/>
      <tableStyleElement type="headerRow" dxfId="291"/>
    </tableStyle>
  </tableStyles>
  <colors>
    <mruColors>
      <color rgb="FFE2F187"/>
    </mruColors>
  </colors>
  <extLst>
    <ext xmlns:x14="http://schemas.microsoft.com/office/spreadsheetml/2009/9/main" uri="{46F421CA-312F-682f-3DD2-61675219B42D}">
      <x14:dxfs count="3">
        <dxf>
          <fill>
            <patternFill>
              <bgColor theme="3" tint="0.89996032593768116"/>
            </patternFill>
          </fill>
        </dxf>
        <dxf>
          <fill>
            <patternFill>
              <bgColor rgb="FF002060"/>
            </patternFill>
          </fill>
        </dxf>
        <dxf>
          <fill>
            <patternFill>
              <bgColor theme="0" tint="-4.9989318521683403E-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8.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2A8-439D-981F-33C7588086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2A8-439D-981F-33C758808614}"/>
              </c:ext>
            </c:extLst>
          </c:dPt>
          <c:cat>
            <c:strRef>
              <c:f>PivotTable!$A$25:$A$26</c:f>
              <c:strCache>
                <c:ptCount val="2"/>
                <c:pt idx="0">
                  <c:v>Average of Sales Completion Rate</c:v>
                </c:pt>
                <c:pt idx="1">
                  <c:v>Pending</c:v>
                </c:pt>
              </c:strCache>
            </c:strRef>
          </c:cat>
          <c:val>
            <c:numRef>
              <c:f>PivotTable!$B$25:$B$26</c:f>
              <c:numCache>
                <c:formatCode>0%</c:formatCode>
                <c:ptCount val="2"/>
                <c:pt idx="0">
                  <c:v>0.85555555555555574</c:v>
                </c:pt>
                <c:pt idx="1">
                  <c:v>0.14444444444444426</c:v>
                </c:pt>
              </c:numCache>
            </c:numRef>
          </c:val>
          <c:extLst>
            <c:ext xmlns:c16="http://schemas.microsoft.com/office/drawing/2014/chart" uri="{C3380CC4-5D6E-409C-BE32-E72D297353CC}">
              <c16:uniqueId val="{00000004-02A8-439D-981F-33C758808614}"/>
            </c:ext>
          </c:extLst>
        </c:ser>
        <c:dLbls>
          <c:showLegendKey val="0"/>
          <c:showVal val="0"/>
          <c:showCatName val="0"/>
          <c:showSerName val="0"/>
          <c:showPercent val="0"/>
          <c:showBubbleSize val="0"/>
          <c:showLeaderLines val="1"/>
        </c:dLbls>
        <c:firstSliceAng val="0"/>
        <c:holeSize val="75"/>
      </c:doughnutChart>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Profit &amp; Customer_Dashboard.xlsx]PivotTable!PivotTable1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PivotTable!$B$4</c:f>
              <c:strCache>
                <c:ptCount val="1"/>
                <c:pt idx="0">
                  <c:v>Sum of Sales</c:v>
                </c:pt>
              </c:strCache>
            </c:strRef>
          </c:tx>
          <c:spPr>
            <a:solidFill>
              <a:schemeClr val="accent1"/>
            </a:solidFill>
            <a:ln>
              <a:noFill/>
            </a:ln>
            <a:effectLst/>
          </c:spPr>
          <c:invertIfNegative val="0"/>
          <c:cat>
            <c:strRef>
              <c:f>PivotTable!$A$5:$A$17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PivotTable!$B$5:$B$17</c:f>
              <c:numCache>
                <c:formatCode>0.0,"k"</c:formatCode>
                <c:ptCount val="12"/>
                <c:pt idx="0">
                  <c:v>12900</c:v>
                </c:pt>
                <c:pt idx="1">
                  <c:v>11256</c:v>
                </c:pt>
                <c:pt idx="2">
                  <c:v>11700</c:v>
                </c:pt>
                <c:pt idx="3">
                  <c:v>10400</c:v>
                </c:pt>
                <c:pt idx="4">
                  <c:v>12995</c:v>
                </c:pt>
                <c:pt idx="5">
                  <c:v>13450</c:v>
                </c:pt>
                <c:pt idx="6">
                  <c:v>11000</c:v>
                </c:pt>
                <c:pt idx="7">
                  <c:v>17050</c:v>
                </c:pt>
                <c:pt idx="8">
                  <c:v>3600</c:v>
                </c:pt>
                <c:pt idx="9">
                  <c:v>26729</c:v>
                </c:pt>
                <c:pt idx="10">
                  <c:v>22481</c:v>
                </c:pt>
                <c:pt idx="11">
                  <c:v>3800</c:v>
                </c:pt>
              </c:numCache>
            </c:numRef>
          </c:val>
          <c:extLst>
            <c:ext xmlns:c16="http://schemas.microsoft.com/office/drawing/2014/chart" uri="{C3380CC4-5D6E-409C-BE32-E72D297353CC}">
              <c16:uniqueId val="{00000000-E355-4E00-86D4-EAB6E0F42D78}"/>
            </c:ext>
          </c:extLst>
        </c:ser>
        <c:ser>
          <c:idx val="1"/>
          <c:order val="1"/>
          <c:tx>
            <c:strRef>
              <c:f>PivotTable!$C$4</c:f>
              <c:strCache>
                <c:ptCount val="1"/>
                <c:pt idx="0">
                  <c:v>Sum of Target Sales</c:v>
                </c:pt>
              </c:strCache>
            </c:strRef>
          </c:tx>
          <c:spPr>
            <a:solidFill>
              <a:schemeClr val="accent2"/>
            </a:solidFill>
            <a:ln>
              <a:noFill/>
            </a:ln>
            <a:effectLst/>
          </c:spPr>
          <c:invertIfNegative val="0"/>
          <c:cat>
            <c:strRef>
              <c:f>PivotTable!$A$5:$A$17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PivotTable!$C$5:$C$17</c:f>
              <c:numCache>
                <c:formatCode>0.0,"k"</c:formatCode>
                <c:ptCount val="12"/>
                <c:pt idx="0">
                  <c:v>6000.0000000000009</c:v>
                </c:pt>
                <c:pt idx="1">
                  <c:v>24285.28571428571</c:v>
                </c:pt>
                <c:pt idx="2">
                  <c:v>9714.2857142857156</c:v>
                </c:pt>
                <c:pt idx="3">
                  <c:v>13571.428571428569</c:v>
                </c:pt>
                <c:pt idx="4">
                  <c:v>12571.285714285716</c:v>
                </c:pt>
                <c:pt idx="5">
                  <c:v>12999.999999999998</c:v>
                </c:pt>
                <c:pt idx="6">
                  <c:v>20142.85714285713</c:v>
                </c:pt>
                <c:pt idx="7">
                  <c:v>3428.5714285714316</c:v>
                </c:pt>
                <c:pt idx="8">
                  <c:v>9571.428571428567</c:v>
                </c:pt>
                <c:pt idx="9">
                  <c:v>30142.428571428576</c:v>
                </c:pt>
                <c:pt idx="10">
                  <c:v>20857.142857142862</c:v>
                </c:pt>
                <c:pt idx="11">
                  <c:v>3714.2857142857147</c:v>
                </c:pt>
              </c:numCache>
            </c:numRef>
          </c:val>
          <c:extLst>
            <c:ext xmlns:c16="http://schemas.microsoft.com/office/drawing/2014/chart" uri="{C3380CC4-5D6E-409C-BE32-E72D297353CC}">
              <c16:uniqueId val="{00000001-E355-4E00-86D4-EAB6E0F42D78}"/>
            </c:ext>
          </c:extLst>
        </c:ser>
        <c:dLbls>
          <c:showLegendKey val="0"/>
          <c:showVal val="0"/>
          <c:showCatName val="0"/>
          <c:showSerName val="0"/>
          <c:showPercent val="0"/>
          <c:showBubbleSize val="0"/>
        </c:dLbls>
        <c:gapWidth val="150"/>
        <c:overlap val="100"/>
        <c:axId val="1945461344"/>
        <c:axId val="1945454688"/>
      </c:barChart>
      <c:catAx>
        <c:axId val="194546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454688"/>
        <c:crosses val="autoZero"/>
        <c:auto val="1"/>
        <c:lblAlgn val="ctr"/>
        <c:lblOffset val="100"/>
        <c:noMultiLvlLbl val="0"/>
      </c:catAx>
      <c:valAx>
        <c:axId val="1945454688"/>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461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Profit &amp; Customer_Dashboard.xlsx]PivotTable!PivotTable2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PivotTable!$F$4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PivotTable!$F$5:$F$17</c:f>
              <c:numCache>
                <c:formatCode>General</c:formatCode>
                <c:ptCount val="12"/>
                <c:pt idx="0">
                  <c:v>1435</c:v>
                </c:pt>
                <c:pt idx="1">
                  <c:v>185</c:v>
                </c:pt>
                <c:pt idx="2">
                  <c:v>688</c:v>
                </c:pt>
                <c:pt idx="3">
                  <c:v>810</c:v>
                </c:pt>
                <c:pt idx="4">
                  <c:v>850</c:v>
                </c:pt>
                <c:pt idx="5">
                  <c:v>991</c:v>
                </c:pt>
                <c:pt idx="6">
                  <c:v>300</c:v>
                </c:pt>
                <c:pt idx="7">
                  <c:v>646</c:v>
                </c:pt>
                <c:pt idx="8">
                  <c:v>190</c:v>
                </c:pt>
                <c:pt idx="9">
                  <c:v>1450</c:v>
                </c:pt>
                <c:pt idx="10">
                  <c:v>1497</c:v>
                </c:pt>
                <c:pt idx="11">
                  <c:v>318</c:v>
                </c:pt>
              </c:numCache>
            </c:numRef>
          </c:val>
          <c:smooth val="0"/>
          <c:extLst>
            <c:ext xmlns:c16="http://schemas.microsoft.com/office/drawing/2014/chart" uri="{C3380CC4-5D6E-409C-BE32-E72D297353CC}">
              <c16:uniqueId val="{00000000-DE26-4BAA-9DF8-D9F040492AE2}"/>
            </c:ext>
          </c:extLst>
        </c:ser>
        <c:dLbls>
          <c:showLegendKey val="0"/>
          <c:showVal val="0"/>
          <c:showCatName val="0"/>
          <c:showSerName val="0"/>
          <c:showPercent val="0"/>
          <c:showBubbleSize val="0"/>
        </c:dLbls>
        <c:marker val="1"/>
        <c:smooth val="0"/>
        <c:axId val="2065293424"/>
        <c:axId val="2065308400"/>
      </c:lineChart>
      <c:catAx>
        <c:axId val="206529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308400"/>
        <c:crosses val="autoZero"/>
        <c:auto val="1"/>
        <c:lblAlgn val="ctr"/>
        <c:lblOffset val="100"/>
        <c:noMultiLvlLbl val="0"/>
      </c:catAx>
      <c:valAx>
        <c:axId val="2065308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29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Satisfiction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spPr>
            <a:solidFill>
              <a:schemeClr val="accent1"/>
            </a:solidFill>
            <a:ln>
              <a:noFill/>
            </a:ln>
            <a:effectLst/>
            <a:sp3d/>
          </c:spPr>
          <c:invertIfNegative val="0"/>
          <c:cat>
            <c:strRef>
              <c:f>PivotTable!$J$18:$J$22</c:f>
              <c:strCache>
                <c:ptCount val="5"/>
                <c:pt idx="0">
                  <c:v>Speed</c:v>
                </c:pt>
                <c:pt idx="1">
                  <c:v>Quality</c:v>
                </c:pt>
                <c:pt idx="2">
                  <c:v>Service</c:v>
                </c:pt>
                <c:pt idx="3">
                  <c:v>Hygiene</c:v>
                </c:pt>
                <c:pt idx="4">
                  <c:v>Availability</c:v>
                </c:pt>
              </c:strCache>
            </c:strRef>
          </c:cat>
          <c:val>
            <c:numRef>
              <c:f>PivotTable!$K$18:$K$22</c:f>
              <c:numCache>
                <c:formatCode>General</c:formatCode>
                <c:ptCount val="5"/>
                <c:pt idx="0">
                  <c:v>96</c:v>
                </c:pt>
                <c:pt idx="1">
                  <c:v>74</c:v>
                </c:pt>
                <c:pt idx="2">
                  <c:v>66</c:v>
                </c:pt>
                <c:pt idx="3">
                  <c:v>59</c:v>
                </c:pt>
                <c:pt idx="4">
                  <c:v>41</c:v>
                </c:pt>
              </c:numCache>
            </c:numRef>
          </c:val>
          <c:extLst>
            <c:ext xmlns:c16="http://schemas.microsoft.com/office/drawing/2014/chart" uri="{C3380CC4-5D6E-409C-BE32-E72D297353CC}">
              <c16:uniqueId val="{00000000-E2DB-42B9-9F23-DF6DB591E3F6}"/>
            </c:ext>
          </c:extLst>
        </c:ser>
        <c:ser>
          <c:idx val="1"/>
          <c:order val="1"/>
          <c:spPr>
            <a:solidFill>
              <a:schemeClr val="accent2"/>
            </a:solidFill>
            <a:ln>
              <a:noFill/>
            </a:ln>
            <a:effectLst/>
            <a:sp3d/>
          </c:spPr>
          <c:invertIfNegative val="0"/>
          <c:cat>
            <c:strRef>
              <c:f>PivotTable!$J$18:$J$22</c:f>
              <c:strCache>
                <c:ptCount val="5"/>
                <c:pt idx="0">
                  <c:v>Speed</c:v>
                </c:pt>
                <c:pt idx="1">
                  <c:v>Quality</c:v>
                </c:pt>
                <c:pt idx="2">
                  <c:v>Service</c:v>
                </c:pt>
                <c:pt idx="3">
                  <c:v>Hygiene</c:v>
                </c:pt>
                <c:pt idx="4">
                  <c:v>Availability</c:v>
                </c:pt>
              </c:strCache>
            </c:strRef>
          </c:cat>
          <c:val>
            <c:numRef>
              <c:f>PivotTable!$L$18:$L$22</c:f>
              <c:numCache>
                <c:formatCode>General</c:formatCode>
                <c:ptCount val="5"/>
              </c:numCache>
            </c:numRef>
          </c:val>
          <c:extLst>
            <c:ext xmlns:c16="http://schemas.microsoft.com/office/drawing/2014/chart" uri="{C3380CC4-5D6E-409C-BE32-E72D297353CC}">
              <c16:uniqueId val="{00000001-E2DB-42B9-9F23-DF6DB591E3F6}"/>
            </c:ext>
          </c:extLst>
        </c:ser>
        <c:dLbls>
          <c:showLegendKey val="0"/>
          <c:showVal val="0"/>
          <c:showCatName val="0"/>
          <c:showSerName val="0"/>
          <c:showPercent val="0"/>
          <c:showBubbleSize val="0"/>
        </c:dLbls>
        <c:gapWidth val="150"/>
        <c:shape val="box"/>
        <c:axId val="2109788176"/>
        <c:axId val="2109790256"/>
        <c:axId val="0"/>
      </c:bar3DChart>
      <c:catAx>
        <c:axId val="21097881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790256"/>
        <c:crosses val="autoZero"/>
        <c:auto val="1"/>
        <c:lblAlgn val="ctr"/>
        <c:lblOffset val="100"/>
        <c:noMultiLvlLbl val="0"/>
      </c:catAx>
      <c:valAx>
        <c:axId val="210979025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788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002060"/>
              </a:solidFill>
              <a:ln w="19050">
                <a:solidFill>
                  <a:schemeClr val="lt1"/>
                </a:solidFill>
              </a:ln>
              <a:effectLst/>
            </c:spPr>
            <c:extLst>
              <c:ext xmlns:c16="http://schemas.microsoft.com/office/drawing/2014/chart" uri="{C3380CC4-5D6E-409C-BE32-E72D297353CC}">
                <c16:uniqueId val="{00000001-DBFC-40DB-8453-D30B56BA2B05}"/>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3-DBFC-40DB-8453-D30B56BA2B05}"/>
              </c:ext>
            </c:extLst>
          </c:dPt>
          <c:cat>
            <c:strRef>
              <c:f>PivotTable!$A$25:$A$26</c:f>
              <c:strCache>
                <c:ptCount val="2"/>
                <c:pt idx="0">
                  <c:v>Average of Sales Completion Rate</c:v>
                </c:pt>
                <c:pt idx="1">
                  <c:v>Pending</c:v>
                </c:pt>
              </c:strCache>
            </c:strRef>
          </c:cat>
          <c:val>
            <c:numRef>
              <c:f>PivotTable!$B$25:$B$26</c:f>
              <c:numCache>
                <c:formatCode>0%</c:formatCode>
                <c:ptCount val="2"/>
                <c:pt idx="0">
                  <c:v>0.85555555555555574</c:v>
                </c:pt>
                <c:pt idx="1">
                  <c:v>0.14444444444444426</c:v>
                </c:pt>
              </c:numCache>
            </c:numRef>
          </c:val>
          <c:extLst>
            <c:ext xmlns:c16="http://schemas.microsoft.com/office/drawing/2014/chart" uri="{C3380CC4-5D6E-409C-BE32-E72D297353CC}">
              <c16:uniqueId val="{00000004-DBFC-40DB-8453-D30B56BA2B05}"/>
            </c:ext>
          </c:extLst>
        </c:ser>
        <c:dLbls>
          <c:showLegendKey val="0"/>
          <c:showVal val="0"/>
          <c:showCatName val="0"/>
          <c:showSerName val="0"/>
          <c:showPercent val="0"/>
          <c:showBubbleSize val="0"/>
          <c:showLeaderLines val="1"/>
        </c:dLbls>
        <c:firstSliceAng val="0"/>
        <c:holeSize val="67"/>
      </c:doughnutChart>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85000"/>
              </a:schemeClr>
            </a:solidFill>
            <a:ln>
              <a:noFill/>
            </a:ln>
          </c:spPr>
          <c:dPt>
            <c:idx val="0"/>
            <c:bubble3D val="0"/>
            <c:spPr>
              <a:solidFill>
                <a:srgbClr val="002060"/>
              </a:solidFill>
              <a:ln w="19050">
                <a:noFill/>
              </a:ln>
              <a:effectLst/>
            </c:spPr>
            <c:extLst>
              <c:ext xmlns:c16="http://schemas.microsoft.com/office/drawing/2014/chart" uri="{C3380CC4-5D6E-409C-BE32-E72D297353CC}">
                <c16:uniqueId val="{00000001-0BDC-40FC-B411-34A752D7E5F9}"/>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0BDC-40FC-B411-34A752D7E5F9}"/>
              </c:ext>
            </c:extLst>
          </c:dPt>
          <c:cat>
            <c:strRef>
              <c:f>PivotTable!$A$27:$A$28</c:f>
              <c:strCache>
                <c:ptCount val="2"/>
                <c:pt idx="0">
                  <c:v>Average of Profit Completion Rate</c:v>
                </c:pt>
                <c:pt idx="1">
                  <c:v>Pending</c:v>
                </c:pt>
              </c:strCache>
            </c:strRef>
          </c:cat>
          <c:val>
            <c:numRef>
              <c:f>PivotTable!$B$27:$B$28</c:f>
              <c:numCache>
                <c:formatCode>0%</c:formatCode>
                <c:ptCount val="2"/>
                <c:pt idx="0">
                  <c:v>0.85492063492063519</c:v>
                </c:pt>
                <c:pt idx="1">
                  <c:v>0.14507936507936481</c:v>
                </c:pt>
              </c:numCache>
            </c:numRef>
          </c:val>
          <c:extLst>
            <c:ext xmlns:c16="http://schemas.microsoft.com/office/drawing/2014/chart" uri="{C3380CC4-5D6E-409C-BE32-E72D297353CC}">
              <c16:uniqueId val="{00000004-0BDC-40FC-B411-34A752D7E5F9}"/>
            </c:ext>
          </c:extLst>
        </c:ser>
        <c:dLbls>
          <c:showLegendKey val="0"/>
          <c:showVal val="0"/>
          <c:showCatName val="0"/>
          <c:showSerName val="0"/>
          <c:showPercent val="0"/>
          <c:showBubbleSize val="0"/>
          <c:showLeaderLines val="1"/>
        </c:dLbls>
        <c:firstSliceAng val="0"/>
        <c:holeSize val="67"/>
      </c:doughnutChart>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85000"/>
              </a:schemeClr>
            </a:solidFill>
          </c:spPr>
          <c:dPt>
            <c:idx val="0"/>
            <c:bubble3D val="0"/>
            <c:spPr>
              <a:solidFill>
                <a:srgbClr val="002060"/>
              </a:solidFill>
              <a:ln w="19050">
                <a:solidFill>
                  <a:schemeClr val="lt1"/>
                </a:solidFill>
              </a:ln>
              <a:effectLst/>
            </c:spPr>
            <c:extLst>
              <c:ext xmlns:c16="http://schemas.microsoft.com/office/drawing/2014/chart" uri="{C3380CC4-5D6E-409C-BE32-E72D297353CC}">
                <c16:uniqueId val="{00000001-EB00-4ADB-B70D-20DFEFEF4A6A}"/>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EB00-4ADB-B70D-20DFEFEF4A6A}"/>
              </c:ext>
            </c:extLst>
          </c:dPt>
          <c:cat>
            <c:strRef>
              <c:f>PivotTable!$A$29:$A$30</c:f>
              <c:strCache>
                <c:ptCount val="2"/>
                <c:pt idx="0">
                  <c:v>Average of Customer Completion Rate</c:v>
                </c:pt>
                <c:pt idx="1">
                  <c:v>Pending</c:v>
                </c:pt>
              </c:strCache>
            </c:strRef>
          </c:cat>
          <c:val>
            <c:numRef>
              <c:f>PivotTable!$B$29:$B$30</c:f>
              <c:numCache>
                <c:formatCode>0%</c:formatCode>
                <c:ptCount val="2"/>
                <c:pt idx="0">
                  <c:v>0.8447619047619046</c:v>
                </c:pt>
                <c:pt idx="1">
                  <c:v>0.1552380952380954</c:v>
                </c:pt>
              </c:numCache>
            </c:numRef>
          </c:val>
          <c:extLst>
            <c:ext xmlns:c16="http://schemas.microsoft.com/office/drawing/2014/chart" uri="{C3380CC4-5D6E-409C-BE32-E72D297353CC}">
              <c16:uniqueId val="{00000004-EB00-4ADB-B70D-20DFEFEF4A6A}"/>
            </c:ext>
          </c:extLst>
        </c:ser>
        <c:dLbls>
          <c:showLegendKey val="0"/>
          <c:showVal val="0"/>
          <c:showCatName val="0"/>
          <c:showSerName val="0"/>
          <c:showPercent val="0"/>
          <c:showBubbleSize val="0"/>
          <c:showLeaderLines val="1"/>
        </c:dLbls>
        <c:firstSliceAng val="0"/>
        <c:holeSize val="67"/>
      </c:doughnutChart>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002060"/>
              </a:solidFill>
              <a:ln w="19050">
                <a:noFill/>
              </a:ln>
              <a:effectLst/>
            </c:spPr>
            <c:extLst>
              <c:ext xmlns:c16="http://schemas.microsoft.com/office/drawing/2014/chart" uri="{C3380CC4-5D6E-409C-BE32-E72D297353CC}">
                <c16:uniqueId val="{00000001-F292-4884-BDAA-607FEA420F39}"/>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F292-4884-BDAA-607FEA420F39}"/>
              </c:ext>
            </c:extLst>
          </c:dPt>
          <c:cat>
            <c:strRef>
              <c:f>PivotTable!$A$31:$A$32</c:f>
              <c:strCache>
                <c:ptCount val="2"/>
                <c:pt idx="0">
                  <c:v>Sales vs Target</c:v>
                </c:pt>
                <c:pt idx="1">
                  <c:v>Pending</c:v>
                </c:pt>
              </c:strCache>
            </c:strRef>
          </c:cat>
          <c:val>
            <c:numRef>
              <c:f>PivotTable!$B$31:$B$32</c:f>
              <c:numCache>
                <c:formatCode>0%</c:formatCode>
                <c:ptCount val="2"/>
                <c:pt idx="0">
                  <c:v>0.94228707956335067</c:v>
                </c:pt>
                <c:pt idx="1">
                  <c:v>5.7712920436649329E-2</c:v>
                </c:pt>
              </c:numCache>
            </c:numRef>
          </c:val>
          <c:extLst>
            <c:ext xmlns:c16="http://schemas.microsoft.com/office/drawing/2014/chart" uri="{C3380CC4-5D6E-409C-BE32-E72D297353CC}">
              <c16:uniqueId val="{00000004-F292-4884-BDAA-607FEA420F39}"/>
            </c:ext>
          </c:extLst>
        </c:ser>
        <c:dLbls>
          <c:showLegendKey val="0"/>
          <c:showVal val="0"/>
          <c:showCatName val="0"/>
          <c:showSerName val="0"/>
          <c:showPercent val="0"/>
          <c:showBubbleSize val="0"/>
          <c:showLeaderLines val="1"/>
        </c:dLbls>
        <c:firstSliceAng val="0"/>
        <c:holeSize val="67"/>
      </c:doughnutChart>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Profit &amp; Customer_Dashboard.xlsx]PivotTable!PivotTable1</c:name>
    <c:fmtId val="2"/>
  </c:pivotSource>
  <c:chart>
    <c:title>
      <c:tx>
        <c:rich>
          <a:bodyPr rot="0" spcFirstLastPara="1" vertOverflow="ellipsis" vert="horz" wrap="square" anchor="ctr" anchorCtr="1"/>
          <a:lstStyle/>
          <a:p>
            <a:pPr>
              <a:defRPr sz="4000" b="0" i="0" u="none" strike="noStrike" kern="1200" spc="0" baseline="0">
                <a:solidFill>
                  <a:schemeClr val="tx1">
                    <a:lumMod val="65000"/>
                    <a:lumOff val="35000"/>
                  </a:schemeClr>
                </a:solidFill>
                <a:latin typeface="+mn-lt"/>
                <a:ea typeface="+mn-ea"/>
                <a:cs typeface="+mn-cs"/>
              </a:defRPr>
            </a:pPr>
            <a:r>
              <a:rPr lang="en-US" sz="4000" b="1">
                <a:solidFill>
                  <a:sysClr val="windowText" lastClr="000000"/>
                </a:solidFill>
                <a:latin typeface="Times New Roman" panose="02020603050405020304" pitchFamily="18" charset="0"/>
                <a:cs typeface="Times New Roman" panose="02020603050405020304" pitchFamily="18" charset="0"/>
              </a:rPr>
              <a:t>Sales vs target sales by month</a:t>
            </a:r>
          </a:p>
        </c:rich>
      </c:tx>
      <c:layout>
        <c:manualLayout>
          <c:xMode val="edge"/>
          <c:yMode val="edge"/>
          <c:x val="1.9437585733882032E-2"/>
          <c:y val="5.1679586563307491E-2"/>
        </c:manualLayout>
      </c:layout>
      <c:overlay val="0"/>
      <c:spPr>
        <a:noFill/>
        <a:ln>
          <a:noFill/>
        </a:ln>
        <a:effectLst/>
      </c:spPr>
      <c:txPr>
        <a:bodyPr rot="0" spcFirstLastPara="1" vertOverflow="ellipsis" vert="horz" wrap="square" anchor="ctr" anchorCtr="1"/>
        <a:lstStyle/>
        <a:p>
          <a:pPr>
            <a:defRPr sz="4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743563371495053E-2"/>
          <c:y val="0.26310987597138591"/>
          <c:w val="0.94634468530939808"/>
          <c:h val="0.64936234714846686"/>
        </c:manualLayout>
      </c:layout>
      <c:barChart>
        <c:barDir val="col"/>
        <c:grouping val="stacked"/>
        <c:varyColors val="0"/>
        <c:ser>
          <c:idx val="0"/>
          <c:order val="0"/>
          <c:tx>
            <c:strRef>
              <c:f>PivotTable!$B$4</c:f>
              <c:strCache>
                <c:ptCount val="1"/>
                <c:pt idx="0">
                  <c:v>Sum of Sales</c:v>
                </c:pt>
              </c:strCache>
            </c:strRef>
          </c:tx>
          <c:spPr>
            <a:solidFill>
              <a:srgbClr val="002060"/>
            </a:solidFill>
            <a:ln>
              <a:noFill/>
            </a:ln>
            <a:effectLst/>
          </c:spPr>
          <c:invertIfNegative val="0"/>
          <c:cat>
            <c:strRef>
              <c:f>PivotTable!$A$5:$A$17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PivotTable!$B$5:$B$17</c:f>
              <c:numCache>
                <c:formatCode>0.0,"k"</c:formatCode>
                <c:ptCount val="12"/>
                <c:pt idx="0">
                  <c:v>12900</c:v>
                </c:pt>
                <c:pt idx="1">
                  <c:v>11256</c:v>
                </c:pt>
                <c:pt idx="2">
                  <c:v>11700</c:v>
                </c:pt>
                <c:pt idx="3">
                  <c:v>10400</c:v>
                </c:pt>
                <c:pt idx="4">
                  <c:v>12995</c:v>
                </c:pt>
                <c:pt idx="5">
                  <c:v>13450</c:v>
                </c:pt>
                <c:pt idx="6">
                  <c:v>11000</c:v>
                </c:pt>
                <c:pt idx="7">
                  <c:v>17050</c:v>
                </c:pt>
                <c:pt idx="8">
                  <c:v>3600</c:v>
                </c:pt>
                <c:pt idx="9">
                  <c:v>26729</c:v>
                </c:pt>
                <c:pt idx="10">
                  <c:v>22481</c:v>
                </c:pt>
                <c:pt idx="11">
                  <c:v>3800</c:v>
                </c:pt>
              </c:numCache>
            </c:numRef>
          </c:val>
          <c:extLst>
            <c:ext xmlns:c16="http://schemas.microsoft.com/office/drawing/2014/chart" uri="{C3380CC4-5D6E-409C-BE32-E72D297353CC}">
              <c16:uniqueId val="{00000000-944B-4BED-B4BB-939586E10935}"/>
            </c:ext>
          </c:extLst>
        </c:ser>
        <c:ser>
          <c:idx val="1"/>
          <c:order val="1"/>
          <c:tx>
            <c:strRef>
              <c:f>PivotTable!$C$4</c:f>
              <c:strCache>
                <c:ptCount val="1"/>
                <c:pt idx="0">
                  <c:v>Sum of Target Sales</c:v>
                </c:pt>
              </c:strCache>
            </c:strRef>
          </c:tx>
          <c:spPr>
            <a:solidFill>
              <a:schemeClr val="bg1">
                <a:lumMod val="85000"/>
              </a:schemeClr>
            </a:solidFill>
            <a:ln>
              <a:noFill/>
            </a:ln>
            <a:effectLst/>
          </c:spPr>
          <c:invertIfNegative val="0"/>
          <c:cat>
            <c:strRef>
              <c:f>PivotTable!$A$5:$A$17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PivotTable!$C$5:$C$17</c:f>
              <c:numCache>
                <c:formatCode>0.0,"k"</c:formatCode>
                <c:ptCount val="12"/>
                <c:pt idx="0">
                  <c:v>6000.0000000000009</c:v>
                </c:pt>
                <c:pt idx="1">
                  <c:v>24285.28571428571</c:v>
                </c:pt>
                <c:pt idx="2">
                  <c:v>9714.2857142857156</c:v>
                </c:pt>
                <c:pt idx="3">
                  <c:v>13571.428571428569</c:v>
                </c:pt>
                <c:pt idx="4">
                  <c:v>12571.285714285716</c:v>
                </c:pt>
                <c:pt idx="5">
                  <c:v>12999.999999999998</c:v>
                </c:pt>
                <c:pt idx="6">
                  <c:v>20142.85714285713</c:v>
                </c:pt>
                <c:pt idx="7">
                  <c:v>3428.5714285714316</c:v>
                </c:pt>
                <c:pt idx="8">
                  <c:v>9571.428571428567</c:v>
                </c:pt>
                <c:pt idx="9">
                  <c:v>30142.428571428576</c:v>
                </c:pt>
                <c:pt idx="10">
                  <c:v>20857.142857142862</c:v>
                </c:pt>
                <c:pt idx="11">
                  <c:v>3714.2857142857147</c:v>
                </c:pt>
              </c:numCache>
            </c:numRef>
          </c:val>
          <c:extLst>
            <c:ext xmlns:c16="http://schemas.microsoft.com/office/drawing/2014/chart" uri="{C3380CC4-5D6E-409C-BE32-E72D297353CC}">
              <c16:uniqueId val="{00000001-944B-4BED-B4BB-939586E10935}"/>
            </c:ext>
          </c:extLst>
        </c:ser>
        <c:dLbls>
          <c:showLegendKey val="0"/>
          <c:showVal val="0"/>
          <c:showCatName val="0"/>
          <c:showSerName val="0"/>
          <c:showPercent val="0"/>
          <c:showBubbleSize val="0"/>
        </c:dLbls>
        <c:gapWidth val="31"/>
        <c:overlap val="100"/>
        <c:axId val="1945461344"/>
        <c:axId val="1945454688"/>
      </c:barChart>
      <c:catAx>
        <c:axId val="194546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945454688"/>
        <c:crosses val="autoZero"/>
        <c:auto val="1"/>
        <c:lblAlgn val="ctr"/>
        <c:lblOffset val="100"/>
        <c:noMultiLvlLbl val="0"/>
      </c:catAx>
      <c:valAx>
        <c:axId val="1945454688"/>
        <c:scaling>
          <c:orientation val="minMax"/>
        </c:scaling>
        <c:delete val="1"/>
        <c:axPos val="l"/>
        <c:numFmt formatCode="0.0,&quot;k&quot;" sourceLinked="1"/>
        <c:majorTickMark val="none"/>
        <c:minorTickMark val="none"/>
        <c:tickLblPos val="nextTo"/>
        <c:crossAx val="1945461344"/>
        <c:crosses val="autoZero"/>
        <c:crossBetween val="between"/>
      </c:valAx>
      <c:spPr>
        <a:noFill/>
        <a:ln>
          <a:noFill/>
        </a:ln>
        <a:effectLst/>
      </c:spPr>
    </c:plotArea>
    <c:legend>
      <c:legendPos val="r"/>
      <c:layout>
        <c:manualLayout>
          <c:xMode val="edge"/>
          <c:yMode val="edge"/>
          <c:x val="0.8103155006858711"/>
          <c:y val="3.3946367169220129E-2"/>
          <c:w val="0.17596707818930041"/>
          <c:h val="0.30678406478259979"/>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Profit &amp; Customer_Dashboard.xlsx]PivotTable!PivotTable2</c:name>
    <c:fmtId val="4"/>
  </c:pivotSource>
  <c:chart>
    <c:title>
      <c:tx>
        <c:rich>
          <a:bodyPr rot="0" spcFirstLastPara="1" vertOverflow="ellipsis" vert="horz" wrap="square" anchor="ctr" anchorCtr="1"/>
          <a:lstStyle/>
          <a:p>
            <a:pPr>
              <a:defRPr sz="40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4000"/>
              <a:t>Customer Count By Month</a:t>
            </a:r>
          </a:p>
        </c:rich>
      </c:tx>
      <c:layout>
        <c:manualLayout>
          <c:xMode val="edge"/>
          <c:yMode val="edge"/>
          <c:x val="5.4309623430962337E-2"/>
          <c:y val="6.133333333333333E-2"/>
        </c:manualLayout>
      </c:layout>
      <c:overlay val="0"/>
      <c:spPr>
        <a:noFill/>
        <a:ln>
          <a:noFill/>
        </a:ln>
        <a:effectLst/>
      </c:spPr>
      <c:txPr>
        <a:bodyPr rot="0" spcFirstLastPara="1" vertOverflow="ellipsis" vert="horz" wrap="square" anchor="ctr" anchorCtr="1"/>
        <a:lstStyle/>
        <a:p>
          <a:pPr>
            <a:defRPr sz="40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44450" cap="rnd">
            <a:solidFill>
              <a:srgbClr val="002060"/>
            </a:solidFill>
            <a:round/>
          </a:ln>
          <a:effectLst/>
        </c:spPr>
        <c:marker>
          <c:symbol val="circle"/>
          <c:size val="5"/>
          <c:spPr>
            <a:solidFill>
              <a:srgbClr val="00206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183188921468489E-2"/>
          <c:y val="0.20366677165354333"/>
          <c:w val="0.84700370089722044"/>
          <c:h val="0.71014194225721794"/>
        </c:manualLayout>
      </c:layout>
      <c:lineChart>
        <c:grouping val="standard"/>
        <c:varyColors val="0"/>
        <c:ser>
          <c:idx val="0"/>
          <c:order val="0"/>
          <c:tx>
            <c:strRef>
              <c:f>PivotTable!$F$4</c:f>
              <c:strCache>
                <c:ptCount val="1"/>
                <c:pt idx="0">
                  <c:v>Total</c:v>
                </c:pt>
              </c:strCache>
            </c:strRef>
          </c:tx>
          <c:spPr>
            <a:ln w="44450" cap="rnd">
              <a:solidFill>
                <a:srgbClr val="002060"/>
              </a:solidFill>
              <a:round/>
            </a:ln>
            <a:effectLst/>
          </c:spPr>
          <c:marker>
            <c:symbol val="circle"/>
            <c:size val="5"/>
            <c:spPr>
              <a:solidFill>
                <a:srgbClr val="002060"/>
              </a:solidFill>
              <a:ln w="9525">
                <a:solidFill>
                  <a:schemeClr val="accent1"/>
                </a:solidFill>
              </a:ln>
              <a:effectLst/>
            </c:spPr>
          </c:marker>
          <c:cat>
            <c:strRef>
              <c:f>PivotTable!$E$5:$E$17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PivotTable!$F$5:$F$17</c:f>
              <c:numCache>
                <c:formatCode>General</c:formatCode>
                <c:ptCount val="12"/>
                <c:pt idx="0">
                  <c:v>1435</c:v>
                </c:pt>
                <c:pt idx="1">
                  <c:v>185</c:v>
                </c:pt>
                <c:pt idx="2">
                  <c:v>688</c:v>
                </c:pt>
                <c:pt idx="3">
                  <c:v>810</c:v>
                </c:pt>
                <c:pt idx="4">
                  <c:v>850</c:v>
                </c:pt>
                <c:pt idx="5">
                  <c:v>991</c:v>
                </c:pt>
                <c:pt idx="6">
                  <c:v>300</c:v>
                </c:pt>
                <c:pt idx="7">
                  <c:v>646</c:v>
                </c:pt>
                <c:pt idx="8">
                  <c:v>190</c:v>
                </c:pt>
                <c:pt idx="9">
                  <c:v>1450</c:v>
                </c:pt>
                <c:pt idx="10">
                  <c:v>1497</c:v>
                </c:pt>
                <c:pt idx="11">
                  <c:v>318</c:v>
                </c:pt>
              </c:numCache>
            </c:numRef>
          </c:val>
          <c:smooth val="1"/>
          <c:extLst>
            <c:ext xmlns:c16="http://schemas.microsoft.com/office/drawing/2014/chart" uri="{C3380CC4-5D6E-409C-BE32-E72D297353CC}">
              <c16:uniqueId val="{00000000-3E37-4584-9FDB-6D3F732F30CB}"/>
            </c:ext>
          </c:extLst>
        </c:ser>
        <c:dLbls>
          <c:showLegendKey val="0"/>
          <c:showVal val="0"/>
          <c:showCatName val="0"/>
          <c:showSerName val="0"/>
          <c:showPercent val="0"/>
          <c:showBubbleSize val="0"/>
        </c:dLbls>
        <c:marker val="1"/>
        <c:smooth val="0"/>
        <c:axId val="2065293424"/>
        <c:axId val="2065308400"/>
      </c:lineChart>
      <c:catAx>
        <c:axId val="206529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2065308400"/>
        <c:crosses val="autoZero"/>
        <c:auto val="1"/>
        <c:lblAlgn val="ctr"/>
        <c:lblOffset val="100"/>
        <c:noMultiLvlLbl val="0"/>
      </c:catAx>
      <c:valAx>
        <c:axId val="2065308400"/>
        <c:scaling>
          <c:orientation val="minMax"/>
        </c:scaling>
        <c:delete val="1"/>
        <c:axPos val="l"/>
        <c:numFmt formatCode="General" sourceLinked="1"/>
        <c:majorTickMark val="none"/>
        <c:minorTickMark val="none"/>
        <c:tickLblPos val="nextTo"/>
        <c:crossAx val="206529342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400" b="1">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Profit &amp; Customer_Dashboard.xlsx]PivotTable!PivotTable3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4000" b="1">
                <a:solidFill>
                  <a:sysClr val="windowText" lastClr="000000"/>
                </a:solidFill>
                <a:latin typeface="Times New Roman" panose="02020603050405020304" pitchFamily="18" charset="0"/>
                <a:cs typeface="Times New Roman" panose="02020603050405020304" pitchFamily="18" charset="0"/>
              </a:rPr>
              <a:t>Profit vs sales by Region </a:t>
            </a:r>
          </a:p>
        </c:rich>
      </c:tx>
      <c:layout>
        <c:manualLayout>
          <c:xMode val="edge"/>
          <c:yMode val="edge"/>
          <c:x val="8.2464304996498664E-2"/>
          <c:y val="3.08880308880308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32429933020082"/>
          <c:y val="0.18274141407999675"/>
          <c:w val="0.760382421647396"/>
          <c:h val="0.75805652671794399"/>
        </c:manualLayout>
      </c:layout>
      <c:barChart>
        <c:barDir val="bar"/>
        <c:grouping val="stacked"/>
        <c:varyColors val="0"/>
        <c:ser>
          <c:idx val="0"/>
          <c:order val="0"/>
          <c:tx>
            <c:strRef>
              <c:f>PivotTable!$I$5</c:f>
              <c:strCache>
                <c:ptCount val="1"/>
                <c:pt idx="0">
                  <c:v>Sum of Sales</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PivotTable!$H$6:$H$10</c:f>
              <c:strCache>
                <c:ptCount val="4"/>
                <c:pt idx="0">
                  <c:v>East</c:v>
                </c:pt>
                <c:pt idx="1">
                  <c:v>South</c:v>
                </c:pt>
                <c:pt idx="2">
                  <c:v>West</c:v>
                </c:pt>
                <c:pt idx="3">
                  <c:v>North</c:v>
                </c:pt>
              </c:strCache>
            </c:strRef>
          </c:cat>
          <c:val>
            <c:numRef>
              <c:f>PivotTable!$I$6:$I$10</c:f>
              <c:numCache>
                <c:formatCode>0.0,"k"</c:formatCode>
                <c:ptCount val="4"/>
                <c:pt idx="0">
                  <c:v>50045</c:v>
                </c:pt>
                <c:pt idx="1">
                  <c:v>46112</c:v>
                </c:pt>
                <c:pt idx="2">
                  <c:v>38283</c:v>
                </c:pt>
                <c:pt idx="3">
                  <c:v>22921</c:v>
                </c:pt>
              </c:numCache>
            </c:numRef>
          </c:val>
          <c:extLst>
            <c:ext xmlns:c16="http://schemas.microsoft.com/office/drawing/2014/chart" uri="{C3380CC4-5D6E-409C-BE32-E72D297353CC}">
              <c16:uniqueId val="{00000000-9BFF-479A-8D16-BB11180BF2BE}"/>
            </c:ext>
          </c:extLst>
        </c:ser>
        <c:ser>
          <c:idx val="1"/>
          <c:order val="1"/>
          <c:tx>
            <c:strRef>
              <c:f>PivotTable!$J$5</c:f>
              <c:strCache>
                <c:ptCount val="1"/>
                <c:pt idx="0">
                  <c:v>Sum of Profit</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PivotTable!$H$6:$H$10</c:f>
              <c:strCache>
                <c:ptCount val="4"/>
                <c:pt idx="0">
                  <c:v>East</c:v>
                </c:pt>
                <c:pt idx="1">
                  <c:v>South</c:v>
                </c:pt>
                <c:pt idx="2">
                  <c:v>West</c:v>
                </c:pt>
                <c:pt idx="3">
                  <c:v>North</c:v>
                </c:pt>
              </c:strCache>
            </c:strRef>
          </c:cat>
          <c:val>
            <c:numRef>
              <c:f>PivotTable!$J$6:$J$10</c:f>
              <c:numCache>
                <c:formatCode>0.0,"k"</c:formatCode>
                <c:ptCount val="4"/>
                <c:pt idx="0">
                  <c:v>45042.857142857159</c:v>
                </c:pt>
                <c:pt idx="1">
                  <c:v>29742.857142857156</c:v>
                </c:pt>
                <c:pt idx="2">
                  <c:v>25300.857142857149</c:v>
                </c:pt>
                <c:pt idx="3">
                  <c:v>13214.285714285725</c:v>
                </c:pt>
              </c:numCache>
            </c:numRef>
          </c:val>
          <c:extLst>
            <c:ext xmlns:c16="http://schemas.microsoft.com/office/drawing/2014/chart" uri="{C3380CC4-5D6E-409C-BE32-E72D297353CC}">
              <c16:uniqueId val="{00000001-9BFF-479A-8D16-BB11180BF2BE}"/>
            </c:ext>
          </c:extLst>
        </c:ser>
        <c:dLbls>
          <c:dLblPos val="ctr"/>
          <c:showLegendKey val="0"/>
          <c:showVal val="1"/>
          <c:showCatName val="0"/>
          <c:showSerName val="0"/>
          <c:showPercent val="0"/>
          <c:showBubbleSize val="0"/>
        </c:dLbls>
        <c:gapWidth val="65"/>
        <c:overlap val="100"/>
        <c:axId val="1944136752"/>
        <c:axId val="1944127184"/>
      </c:barChart>
      <c:catAx>
        <c:axId val="1944136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944127184"/>
        <c:crosses val="autoZero"/>
        <c:auto val="1"/>
        <c:lblAlgn val="ctr"/>
        <c:lblOffset val="100"/>
        <c:noMultiLvlLbl val="0"/>
      </c:catAx>
      <c:valAx>
        <c:axId val="1944127184"/>
        <c:scaling>
          <c:orientation val="minMax"/>
        </c:scaling>
        <c:delete val="1"/>
        <c:axPos val="b"/>
        <c:numFmt formatCode="0.0,&quot;k&quot;" sourceLinked="1"/>
        <c:majorTickMark val="none"/>
        <c:minorTickMark val="none"/>
        <c:tickLblPos val="nextTo"/>
        <c:crossAx val="1944136752"/>
        <c:crosses val="autoZero"/>
        <c:crossBetween val="between"/>
      </c:valAx>
      <c:spPr>
        <a:noFill/>
        <a:ln>
          <a:noFill/>
        </a:ln>
        <a:effectLst/>
      </c:spPr>
    </c:plotArea>
    <c:legend>
      <c:legendPos val="r"/>
      <c:layout>
        <c:manualLayout>
          <c:xMode val="edge"/>
          <c:yMode val="edge"/>
          <c:x val="0.83731214351770189"/>
          <c:y val="8.339140039927441E-2"/>
          <c:w val="0.13689016469682633"/>
          <c:h val="0.10990950455517384"/>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002060"/>
              </a:solidFill>
              <a:ln w="19050">
                <a:solidFill>
                  <a:schemeClr val="lt1"/>
                </a:solidFill>
              </a:ln>
              <a:effectLst/>
            </c:spPr>
            <c:extLst>
              <c:ext xmlns:c16="http://schemas.microsoft.com/office/drawing/2014/chart" uri="{C3380CC4-5D6E-409C-BE32-E72D297353CC}">
                <c16:uniqueId val="{00000001-B8B2-4992-97CB-9244278C9129}"/>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3-B8B2-4992-97CB-9244278C9129}"/>
              </c:ext>
            </c:extLst>
          </c:dPt>
          <c:cat>
            <c:strRef>
              <c:f>PivotTable!$A$25:$A$26</c:f>
              <c:strCache>
                <c:ptCount val="2"/>
                <c:pt idx="0">
                  <c:v>Average of Sales Completion Rate</c:v>
                </c:pt>
                <c:pt idx="1">
                  <c:v>Pending</c:v>
                </c:pt>
              </c:strCache>
            </c:strRef>
          </c:cat>
          <c:val>
            <c:numRef>
              <c:f>PivotTable!$B$25:$B$26</c:f>
              <c:numCache>
                <c:formatCode>0%</c:formatCode>
                <c:ptCount val="2"/>
                <c:pt idx="0">
                  <c:v>0.85555555555555574</c:v>
                </c:pt>
                <c:pt idx="1">
                  <c:v>0.14444444444444426</c:v>
                </c:pt>
              </c:numCache>
            </c:numRef>
          </c:val>
          <c:extLst>
            <c:ext xmlns:c16="http://schemas.microsoft.com/office/drawing/2014/chart" uri="{C3380CC4-5D6E-409C-BE32-E72D297353CC}">
              <c16:uniqueId val="{00000004-B8B2-4992-97CB-9244278C9129}"/>
            </c:ext>
          </c:extLst>
        </c:ser>
        <c:dLbls>
          <c:showLegendKey val="0"/>
          <c:showVal val="0"/>
          <c:showCatName val="0"/>
          <c:showSerName val="0"/>
          <c:showPercent val="0"/>
          <c:showBubbleSize val="0"/>
          <c:showLeaderLines val="1"/>
        </c:dLbls>
        <c:firstSliceAng val="0"/>
        <c:holeSize val="67"/>
      </c:doughnutChart>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85000"/>
              </a:schemeClr>
            </a:solidFill>
            <a:ln>
              <a:noFill/>
            </a:ln>
          </c:spPr>
          <c:dPt>
            <c:idx val="0"/>
            <c:bubble3D val="0"/>
            <c:spPr>
              <a:solidFill>
                <a:srgbClr val="002060"/>
              </a:solidFill>
              <a:ln w="19050">
                <a:noFill/>
              </a:ln>
              <a:effectLst/>
            </c:spPr>
            <c:extLst>
              <c:ext xmlns:c16="http://schemas.microsoft.com/office/drawing/2014/chart" uri="{C3380CC4-5D6E-409C-BE32-E72D297353CC}">
                <c16:uniqueId val="{00000001-3610-49B5-B501-2FC2D2D66403}"/>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3610-49B5-B501-2FC2D2D66403}"/>
              </c:ext>
            </c:extLst>
          </c:dPt>
          <c:cat>
            <c:strRef>
              <c:f>PivotTable!$A$27:$A$28</c:f>
              <c:strCache>
                <c:ptCount val="2"/>
                <c:pt idx="0">
                  <c:v>Average of Profit Completion Rate</c:v>
                </c:pt>
                <c:pt idx="1">
                  <c:v>Pending</c:v>
                </c:pt>
              </c:strCache>
            </c:strRef>
          </c:cat>
          <c:val>
            <c:numRef>
              <c:f>PivotTable!$B$27:$B$28</c:f>
              <c:numCache>
                <c:formatCode>0%</c:formatCode>
                <c:ptCount val="2"/>
                <c:pt idx="0">
                  <c:v>0.85492063492063519</c:v>
                </c:pt>
                <c:pt idx="1">
                  <c:v>0.14507936507936481</c:v>
                </c:pt>
              </c:numCache>
            </c:numRef>
          </c:val>
          <c:extLst>
            <c:ext xmlns:c16="http://schemas.microsoft.com/office/drawing/2014/chart" uri="{C3380CC4-5D6E-409C-BE32-E72D297353CC}">
              <c16:uniqueId val="{00000004-3610-49B5-B501-2FC2D2D66403}"/>
            </c:ext>
          </c:extLst>
        </c:ser>
        <c:dLbls>
          <c:showLegendKey val="0"/>
          <c:showVal val="0"/>
          <c:showCatName val="0"/>
          <c:showSerName val="0"/>
          <c:showPercent val="0"/>
          <c:showBubbleSize val="0"/>
          <c:showLeaderLines val="1"/>
        </c:dLbls>
        <c:firstSliceAng val="0"/>
        <c:holeSize val="67"/>
      </c:doughnutChart>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85000"/>
              </a:schemeClr>
            </a:solidFill>
          </c:spPr>
          <c:dPt>
            <c:idx val="0"/>
            <c:bubble3D val="0"/>
            <c:spPr>
              <a:solidFill>
                <a:srgbClr val="002060"/>
              </a:solidFill>
              <a:ln w="19050">
                <a:solidFill>
                  <a:schemeClr val="lt1"/>
                </a:solidFill>
              </a:ln>
              <a:effectLst/>
            </c:spPr>
            <c:extLst>
              <c:ext xmlns:c16="http://schemas.microsoft.com/office/drawing/2014/chart" uri="{C3380CC4-5D6E-409C-BE32-E72D297353CC}">
                <c16:uniqueId val="{00000001-FCA1-4E82-A084-197CD18211F4}"/>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FCA1-4E82-A084-197CD18211F4}"/>
              </c:ext>
            </c:extLst>
          </c:dPt>
          <c:cat>
            <c:strRef>
              <c:f>PivotTable!$A$29:$A$30</c:f>
              <c:strCache>
                <c:ptCount val="2"/>
                <c:pt idx="0">
                  <c:v>Average of Customer Completion Rate</c:v>
                </c:pt>
                <c:pt idx="1">
                  <c:v>Pending</c:v>
                </c:pt>
              </c:strCache>
            </c:strRef>
          </c:cat>
          <c:val>
            <c:numRef>
              <c:f>PivotTable!$B$29:$B$30</c:f>
              <c:numCache>
                <c:formatCode>0%</c:formatCode>
                <c:ptCount val="2"/>
                <c:pt idx="0">
                  <c:v>0.8447619047619046</c:v>
                </c:pt>
                <c:pt idx="1">
                  <c:v>0.1552380952380954</c:v>
                </c:pt>
              </c:numCache>
            </c:numRef>
          </c:val>
          <c:extLst>
            <c:ext xmlns:c16="http://schemas.microsoft.com/office/drawing/2014/chart" uri="{C3380CC4-5D6E-409C-BE32-E72D297353CC}">
              <c16:uniqueId val="{00000004-FCA1-4E82-A084-197CD18211F4}"/>
            </c:ext>
          </c:extLst>
        </c:ser>
        <c:dLbls>
          <c:showLegendKey val="0"/>
          <c:showVal val="0"/>
          <c:showCatName val="0"/>
          <c:showSerName val="0"/>
          <c:showPercent val="0"/>
          <c:showBubbleSize val="0"/>
          <c:showLeaderLines val="1"/>
        </c:dLbls>
        <c:firstSliceAng val="0"/>
        <c:holeSize val="67"/>
      </c:doughnutChart>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002060"/>
              </a:solidFill>
              <a:ln w="19050">
                <a:noFill/>
              </a:ln>
              <a:effectLst/>
            </c:spPr>
            <c:extLst>
              <c:ext xmlns:c16="http://schemas.microsoft.com/office/drawing/2014/chart" uri="{C3380CC4-5D6E-409C-BE32-E72D297353CC}">
                <c16:uniqueId val="{00000001-47BD-45F4-8C5C-79B7E735CF5F}"/>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47BD-45F4-8C5C-79B7E735CF5F}"/>
              </c:ext>
            </c:extLst>
          </c:dPt>
          <c:cat>
            <c:strRef>
              <c:f>PivotTable!$A$31:$A$32</c:f>
              <c:strCache>
                <c:ptCount val="2"/>
                <c:pt idx="0">
                  <c:v>Sales vs Target</c:v>
                </c:pt>
                <c:pt idx="1">
                  <c:v>Pending</c:v>
                </c:pt>
              </c:strCache>
            </c:strRef>
          </c:cat>
          <c:val>
            <c:numRef>
              <c:f>PivotTable!$B$31:$B$32</c:f>
              <c:numCache>
                <c:formatCode>0%</c:formatCode>
                <c:ptCount val="2"/>
                <c:pt idx="0">
                  <c:v>0.94228707956335067</c:v>
                </c:pt>
                <c:pt idx="1">
                  <c:v>5.7712920436649329E-2</c:v>
                </c:pt>
              </c:numCache>
            </c:numRef>
          </c:val>
          <c:extLst>
            <c:ext xmlns:c16="http://schemas.microsoft.com/office/drawing/2014/chart" uri="{C3380CC4-5D6E-409C-BE32-E72D297353CC}">
              <c16:uniqueId val="{00000004-47BD-45F4-8C5C-79B7E735CF5F}"/>
            </c:ext>
          </c:extLst>
        </c:ser>
        <c:dLbls>
          <c:showLegendKey val="0"/>
          <c:showVal val="0"/>
          <c:showCatName val="0"/>
          <c:showSerName val="0"/>
          <c:showPercent val="0"/>
          <c:showBubbleSize val="0"/>
          <c:showLeaderLines val="1"/>
        </c:dLbls>
        <c:firstSliceAng val="0"/>
        <c:holeSize val="67"/>
      </c:doughnutChart>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Profit &amp; Customer_Dashboard.xlsx]PivotTable!PivotTable1</c:name>
    <c:fmtId val="4"/>
  </c:pivotSource>
  <c:chart>
    <c:title>
      <c:tx>
        <c:rich>
          <a:bodyPr rot="0" spcFirstLastPara="1" vertOverflow="ellipsis" vert="horz" wrap="square" anchor="ctr" anchorCtr="1"/>
          <a:lstStyle/>
          <a:p>
            <a:pPr>
              <a:defRPr sz="4000" b="0" i="0" u="none" strike="noStrike" kern="1200" spc="0" baseline="0">
                <a:solidFill>
                  <a:schemeClr val="tx1">
                    <a:lumMod val="65000"/>
                    <a:lumOff val="35000"/>
                  </a:schemeClr>
                </a:solidFill>
                <a:latin typeface="+mn-lt"/>
                <a:ea typeface="+mn-ea"/>
                <a:cs typeface="+mn-cs"/>
              </a:defRPr>
            </a:pPr>
            <a:r>
              <a:rPr lang="fa-IR" sz="3600" b="1">
                <a:solidFill>
                  <a:sysClr val="windowText" lastClr="000000"/>
                </a:solidFill>
                <a:latin typeface="Times New Roman" panose="02020603050405020304" pitchFamily="18" charset="0"/>
                <a:cs typeface="B Nazanin" panose="00000400000000000000" pitchFamily="2" charset="-78"/>
              </a:rPr>
              <a:t>فروش در مقایسه با هدف فروش بر اساس ماه</a:t>
            </a:r>
            <a:endParaRPr lang="en-US" sz="3600" b="1">
              <a:solidFill>
                <a:sysClr val="windowText" lastClr="000000"/>
              </a:solidFill>
              <a:latin typeface="Times New Roman" panose="02020603050405020304" pitchFamily="18" charset="0"/>
              <a:cs typeface="B Nazanin" panose="00000400000000000000" pitchFamily="2" charset="-78"/>
            </a:endParaRPr>
          </a:p>
        </c:rich>
      </c:tx>
      <c:layout>
        <c:manualLayout>
          <c:xMode val="edge"/>
          <c:yMode val="edge"/>
          <c:x val="0.2537079551803012"/>
          <c:y val="4.3836549843034318E-2"/>
        </c:manualLayout>
      </c:layout>
      <c:overlay val="0"/>
      <c:spPr>
        <a:noFill/>
        <a:ln>
          <a:noFill/>
        </a:ln>
        <a:effectLst/>
      </c:spPr>
      <c:txPr>
        <a:bodyPr rot="0" spcFirstLastPara="1" vertOverflow="ellipsis" vert="horz" wrap="square" anchor="ctr" anchorCtr="1"/>
        <a:lstStyle/>
        <a:p>
          <a:pPr>
            <a:defRPr sz="4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85000"/>
            </a:schemeClr>
          </a:solidFill>
          <a:ln>
            <a:noFill/>
          </a:ln>
          <a:effectLst/>
        </c:spPr>
      </c:pivotFmt>
      <c:pivotFmt>
        <c:idx val="7"/>
        <c:spPr>
          <a:solidFill>
            <a:srgbClr val="002060"/>
          </a:solidFill>
          <a:ln>
            <a:noFill/>
          </a:ln>
          <a:effectLst/>
        </c:spPr>
      </c:pivotFmt>
      <c:pivotFmt>
        <c:idx val="8"/>
        <c:spPr>
          <a:solidFill>
            <a:srgbClr val="002060"/>
          </a:solidFill>
          <a:ln>
            <a:noFill/>
          </a:ln>
          <a:effectLst/>
        </c:spPr>
        <c:marker>
          <c:symbol val="none"/>
        </c:marker>
      </c:pivotFmt>
      <c:pivotFmt>
        <c:idx val="9"/>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509102024897495E-2"/>
          <c:y val="0.25265235963151667"/>
          <c:w val="0.94634468530939808"/>
          <c:h val="0.64936234714846686"/>
        </c:manualLayout>
      </c:layout>
      <c:barChart>
        <c:barDir val="col"/>
        <c:grouping val="stacked"/>
        <c:varyColors val="0"/>
        <c:ser>
          <c:idx val="0"/>
          <c:order val="0"/>
          <c:tx>
            <c:strRef>
              <c:f>PivotTable!$B$4</c:f>
              <c:strCache>
                <c:ptCount val="1"/>
                <c:pt idx="0">
                  <c:v>Sum of Sales</c:v>
                </c:pt>
              </c:strCache>
            </c:strRef>
          </c:tx>
          <c:spPr>
            <a:solidFill>
              <a:srgbClr val="002060"/>
            </a:solidFill>
            <a:ln>
              <a:noFill/>
            </a:ln>
            <a:effectLst/>
          </c:spPr>
          <c:invertIfNegative val="0"/>
          <c:cat>
            <c:strRef>
              <c:f>PivotTable!$A$5:$A$17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PivotTable!$B$5:$B$17</c:f>
              <c:numCache>
                <c:formatCode>0.0,"k"</c:formatCode>
                <c:ptCount val="12"/>
                <c:pt idx="0">
                  <c:v>12900</c:v>
                </c:pt>
                <c:pt idx="1">
                  <c:v>11256</c:v>
                </c:pt>
                <c:pt idx="2">
                  <c:v>11700</c:v>
                </c:pt>
                <c:pt idx="3">
                  <c:v>10400</c:v>
                </c:pt>
                <c:pt idx="4">
                  <c:v>12995</c:v>
                </c:pt>
                <c:pt idx="5">
                  <c:v>13450</c:v>
                </c:pt>
                <c:pt idx="6">
                  <c:v>11000</c:v>
                </c:pt>
                <c:pt idx="7">
                  <c:v>17050</c:v>
                </c:pt>
                <c:pt idx="8">
                  <c:v>3600</c:v>
                </c:pt>
                <c:pt idx="9">
                  <c:v>26729</c:v>
                </c:pt>
                <c:pt idx="10">
                  <c:v>22481</c:v>
                </c:pt>
                <c:pt idx="11">
                  <c:v>3800</c:v>
                </c:pt>
              </c:numCache>
            </c:numRef>
          </c:val>
          <c:extLst>
            <c:ext xmlns:c16="http://schemas.microsoft.com/office/drawing/2014/chart" uri="{C3380CC4-5D6E-409C-BE32-E72D297353CC}">
              <c16:uniqueId val="{00000000-5D87-4920-8BB7-97C44A29F2F2}"/>
            </c:ext>
          </c:extLst>
        </c:ser>
        <c:ser>
          <c:idx val="1"/>
          <c:order val="1"/>
          <c:tx>
            <c:strRef>
              <c:f>PivotTable!$C$4</c:f>
              <c:strCache>
                <c:ptCount val="1"/>
                <c:pt idx="0">
                  <c:v>Sum of Target Sales</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PivotTable!$C$5:$C$17</c:f>
              <c:numCache>
                <c:formatCode>0.0,"k"</c:formatCode>
                <c:ptCount val="12"/>
                <c:pt idx="0">
                  <c:v>6000.0000000000009</c:v>
                </c:pt>
                <c:pt idx="1">
                  <c:v>24285.28571428571</c:v>
                </c:pt>
                <c:pt idx="2">
                  <c:v>9714.2857142857156</c:v>
                </c:pt>
                <c:pt idx="3">
                  <c:v>13571.428571428569</c:v>
                </c:pt>
                <c:pt idx="4">
                  <c:v>12571.285714285716</c:v>
                </c:pt>
                <c:pt idx="5">
                  <c:v>12999.999999999998</c:v>
                </c:pt>
                <c:pt idx="6">
                  <c:v>20142.85714285713</c:v>
                </c:pt>
                <c:pt idx="7">
                  <c:v>3428.5714285714316</c:v>
                </c:pt>
                <c:pt idx="8">
                  <c:v>9571.428571428567</c:v>
                </c:pt>
                <c:pt idx="9">
                  <c:v>30142.428571428576</c:v>
                </c:pt>
                <c:pt idx="10">
                  <c:v>20857.142857142862</c:v>
                </c:pt>
                <c:pt idx="11">
                  <c:v>3714.2857142857147</c:v>
                </c:pt>
              </c:numCache>
            </c:numRef>
          </c:val>
          <c:extLst>
            <c:ext xmlns:c16="http://schemas.microsoft.com/office/drawing/2014/chart" uri="{C3380CC4-5D6E-409C-BE32-E72D297353CC}">
              <c16:uniqueId val="{00000001-5D87-4920-8BB7-97C44A29F2F2}"/>
            </c:ext>
          </c:extLst>
        </c:ser>
        <c:dLbls>
          <c:showLegendKey val="0"/>
          <c:showVal val="0"/>
          <c:showCatName val="0"/>
          <c:showSerName val="0"/>
          <c:showPercent val="0"/>
          <c:showBubbleSize val="0"/>
        </c:dLbls>
        <c:gapWidth val="31"/>
        <c:overlap val="100"/>
        <c:axId val="1945461344"/>
        <c:axId val="1945454688"/>
      </c:barChart>
      <c:catAx>
        <c:axId val="194546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945454688"/>
        <c:crosses val="autoZero"/>
        <c:auto val="1"/>
        <c:lblAlgn val="ctr"/>
        <c:lblOffset val="100"/>
        <c:noMultiLvlLbl val="0"/>
      </c:catAx>
      <c:valAx>
        <c:axId val="1945454688"/>
        <c:scaling>
          <c:orientation val="minMax"/>
        </c:scaling>
        <c:delete val="1"/>
        <c:axPos val="l"/>
        <c:numFmt formatCode="0.0,&quot;k&quot;" sourceLinked="1"/>
        <c:majorTickMark val="none"/>
        <c:minorTickMark val="none"/>
        <c:tickLblPos val="nextTo"/>
        <c:crossAx val="1945461344"/>
        <c:crosses val="autoZero"/>
        <c:crossBetween val="between"/>
      </c:valAx>
      <c:spPr>
        <a:noFill/>
        <a:ln>
          <a:noFill/>
        </a:ln>
        <a:effectLst/>
      </c:spPr>
    </c:plotArea>
    <c:legend>
      <c:legendPos val="r"/>
      <c:layout>
        <c:manualLayout>
          <c:xMode val="edge"/>
          <c:yMode val="edge"/>
          <c:x val="9.3708165997322627E-3"/>
          <c:y val="3.6560753435232358E-2"/>
          <c:w val="0.22951459380830408"/>
          <c:h val="0.24403890690134322"/>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Profit &amp; Customer_Dashboard.xlsx]PivotTable!PivotTable2</c:name>
    <c:fmtId val="6"/>
  </c:pivotSource>
  <c:chart>
    <c:title>
      <c:tx>
        <c:rich>
          <a:bodyPr rot="0" spcFirstLastPara="1" vertOverflow="ellipsis" vert="horz" wrap="square" anchor="ctr" anchorCtr="1"/>
          <a:lstStyle/>
          <a:p>
            <a:pPr>
              <a:defRPr sz="3600" b="1" i="0" u="none" strike="noStrike" kern="1200" spc="0" baseline="0">
                <a:solidFill>
                  <a:sysClr val="windowText" lastClr="000000"/>
                </a:solidFill>
                <a:latin typeface="Times New Roman" panose="02020603050405020304" pitchFamily="18" charset="0"/>
                <a:ea typeface="+mn-ea"/>
                <a:cs typeface="B Nazanin" panose="00000400000000000000" pitchFamily="2" charset="-78"/>
              </a:defRPr>
            </a:pPr>
            <a:r>
              <a:rPr lang="fa-IR" sz="3600">
                <a:cs typeface="B Nazanin" panose="00000400000000000000" pitchFamily="2" charset="-78"/>
              </a:rPr>
              <a:t>تعداد مشتریان بر اساس ماه</a:t>
            </a:r>
            <a:endParaRPr lang="en-US" sz="3600">
              <a:cs typeface="B Nazanin" panose="00000400000000000000" pitchFamily="2" charset="-78"/>
            </a:endParaRPr>
          </a:p>
        </c:rich>
      </c:tx>
      <c:layout>
        <c:manualLayout>
          <c:xMode val="edge"/>
          <c:yMode val="edge"/>
          <c:x val="0.51976900774727097"/>
          <c:y val="6.4076774353823057E-2"/>
        </c:manualLayout>
      </c:layout>
      <c:overlay val="0"/>
      <c:spPr>
        <a:noFill/>
        <a:ln>
          <a:noFill/>
        </a:ln>
        <a:effectLst/>
      </c:spPr>
      <c:txPr>
        <a:bodyPr rot="0" spcFirstLastPara="1" vertOverflow="ellipsis" vert="horz" wrap="square" anchor="ctr" anchorCtr="1"/>
        <a:lstStyle/>
        <a:p>
          <a:pPr>
            <a:defRPr sz="3600" b="1" i="0" u="none" strike="noStrike" kern="1200" spc="0" baseline="0">
              <a:solidFill>
                <a:sysClr val="windowText" lastClr="000000"/>
              </a:solidFill>
              <a:latin typeface="Times New Roman" panose="02020603050405020304" pitchFamily="18" charset="0"/>
              <a:ea typeface="+mn-ea"/>
              <a:cs typeface="B Nazanin" panose="00000400000000000000" pitchFamily="2" charset="-78"/>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rgbClr val="002060"/>
            </a:solidFill>
            <a:round/>
          </a:ln>
          <a:effectLst/>
        </c:spPr>
        <c:marker>
          <c:symbol val="circle"/>
          <c:size val="5"/>
          <c:spPr>
            <a:solidFill>
              <a:srgbClr val="002060"/>
            </a:solidFill>
            <a:ln w="9525">
              <a:solidFill>
                <a:schemeClr val="accent1"/>
              </a:solidFill>
            </a:ln>
            <a:effectLst/>
          </c:spPr>
        </c:marker>
      </c:pivotFmt>
      <c:pivotFmt>
        <c:idx val="3"/>
        <c:spPr>
          <a:solidFill>
            <a:schemeClr val="accent1"/>
          </a:solidFill>
          <a:ln w="28575" cap="rnd">
            <a:solidFill>
              <a:srgbClr val="002060"/>
            </a:solidFill>
            <a:round/>
          </a:ln>
          <a:effectLst/>
        </c:spPr>
        <c:marker>
          <c:symbol val="circle"/>
          <c:size val="5"/>
          <c:spPr>
            <a:solidFill>
              <a:srgbClr val="002060"/>
            </a:solidFill>
            <a:ln w="9525">
              <a:solidFill>
                <a:schemeClr val="accent1"/>
              </a:solidFill>
            </a:ln>
            <a:effectLst/>
          </c:spPr>
        </c:marker>
      </c:pivotFmt>
      <c:pivotFmt>
        <c:idx val="4"/>
        <c:spPr>
          <a:ln w="44450" cap="rnd">
            <a:solidFill>
              <a:srgbClr val="002060"/>
            </a:solidFill>
            <a:round/>
          </a:ln>
          <a:effectLst/>
        </c:spPr>
        <c:marker>
          <c:symbol val="circle"/>
          <c:size val="5"/>
          <c:spPr>
            <a:solidFill>
              <a:srgbClr val="00206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183188921468489E-2"/>
          <c:y val="0.20366677165354333"/>
          <c:w val="0.84700370089722044"/>
          <c:h val="0.71014194225721794"/>
        </c:manualLayout>
      </c:layout>
      <c:lineChart>
        <c:grouping val="standard"/>
        <c:varyColors val="0"/>
        <c:ser>
          <c:idx val="0"/>
          <c:order val="0"/>
          <c:tx>
            <c:strRef>
              <c:f>PivotTable!$F$4</c:f>
              <c:strCache>
                <c:ptCount val="1"/>
                <c:pt idx="0">
                  <c:v>Total</c:v>
                </c:pt>
              </c:strCache>
            </c:strRef>
          </c:tx>
          <c:spPr>
            <a:ln w="44450" cap="rnd">
              <a:solidFill>
                <a:srgbClr val="002060"/>
              </a:solidFill>
              <a:round/>
            </a:ln>
            <a:effectLst/>
          </c:spPr>
          <c:marker>
            <c:symbol val="circle"/>
            <c:size val="5"/>
            <c:spPr>
              <a:solidFill>
                <a:srgbClr val="002060"/>
              </a:solidFill>
              <a:ln w="9525">
                <a:solidFill>
                  <a:schemeClr val="accent1"/>
                </a:solidFill>
              </a:ln>
              <a:effectLst/>
            </c:spPr>
          </c:marker>
          <c:cat>
            <c:strRef>
              <c:f>PivotTable!$E$5:$E$17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PivotTable!$F$5:$F$17</c:f>
              <c:numCache>
                <c:formatCode>General</c:formatCode>
                <c:ptCount val="12"/>
                <c:pt idx="0">
                  <c:v>1435</c:v>
                </c:pt>
                <c:pt idx="1">
                  <c:v>185</c:v>
                </c:pt>
                <c:pt idx="2">
                  <c:v>688</c:v>
                </c:pt>
                <c:pt idx="3">
                  <c:v>810</c:v>
                </c:pt>
                <c:pt idx="4">
                  <c:v>850</c:v>
                </c:pt>
                <c:pt idx="5">
                  <c:v>991</c:v>
                </c:pt>
                <c:pt idx="6">
                  <c:v>300</c:v>
                </c:pt>
                <c:pt idx="7">
                  <c:v>646</c:v>
                </c:pt>
                <c:pt idx="8">
                  <c:v>190</c:v>
                </c:pt>
                <c:pt idx="9">
                  <c:v>1450</c:v>
                </c:pt>
                <c:pt idx="10">
                  <c:v>1497</c:v>
                </c:pt>
                <c:pt idx="11">
                  <c:v>318</c:v>
                </c:pt>
              </c:numCache>
            </c:numRef>
          </c:val>
          <c:smooth val="1"/>
          <c:extLst>
            <c:ext xmlns:c16="http://schemas.microsoft.com/office/drawing/2014/chart" uri="{C3380CC4-5D6E-409C-BE32-E72D297353CC}">
              <c16:uniqueId val="{00000000-71B3-4F71-AE12-CB83A77AE3A4}"/>
            </c:ext>
          </c:extLst>
        </c:ser>
        <c:dLbls>
          <c:showLegendKey val="0"/>
          <c:showVal val="0"/>
          <c:showCatName val="0"/>
          <c:showSerName val="0"/>
          <c:showPercent val="0"/>
          <c:showBubbleSize val="0"/>
        </c:dLbls>
        <c:marker val="1"/>
        <c:smooth val="0"/>
        <c:axId val="2065293424"/>
        <c:axId val="2065308400"/>
      </c:lineChart>
      <c:catAx>
        <c:axId val="206529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2065308400"/>
        <c:crosses val="autoZero"/>
        <c:auto val="1"/>
        <c:lblAlgn val="ctr"/>
        <c:lblOffset val="100"/>
        <c:noMultiLvlLbl val="0"/>
      </c:catAx>
      <c:valAx>
        <c:axId val="2065308400"/>
        <c:scaling>
          <c:orientation val="minMax"/>
        </c:scaling>
        <c:delete val="1"/>
        <c:axPos val="l"/>
        <c:numFmt formatCode="General" sourceLinked="1"/>
        <c:majorTickMark val="none"/>
        <c:minorTickMark val="none"/>
        <c:tickLblPos val="nextTo"/>
        <c:crossAx val="206529342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400" b="1">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Profit &amp; Customer_Dashboard.xlsx]PivotTable!PivotTable3</c:name>
    <c:fmtId val="4"/>
  </c:pivotSource>
  <c:chart>
    <c:title>
      <c:tx>
        <c:rich>
          <a:bodyPr rot="0" spcFirstLastPara="1" vertOverflow="ellipsis" vert="horz" wrap="square" anchor="ctr" anchorCtr="1"/>
          <a:lstStyle/>
          <a:p>
            <a:pPr>
              <a:defRPr sz="3600" b="1" i="0" u="none" strike="noStrike" kern="1200" spc="0" baseline="0">
                <a:solidFill>
                  <a:sysClr val="windowText" lastClr="000000"/>
                </a:solidFill>
                <a:latin typeface="+mn-lt"/>
                <a:ea typeface="+mn-ea"/>
                <a:cs typeface="+mn-cs"/>
              </a:defRPr>
            </a:pPr>
            <a:r>
              <a:rPr lang="fa-IR" sz="3600" b="1" i="0">
                <a:solidFill>
                  <a:sysClr val="windowText" lastClr="000000"/>
                </a:solidFill>
                <a:effectLst/>
                <a:latin typeface="Times New Roman" panose="02020603050405020304" pitchFamily="18" charset="0"/>
                <a:cs typeface="B Nazanin" panose="00000400000000000000" pitchFamily="2" charset="-78"/>
              </a:rPr>
              <a:t>مقایسه سود و فروش به تفکیک منطقه</a:t>
            </a:r>
          </a:p>
        </c:rich>
      </c:tx>
      <c:layout>
        <c:manualLayout>
          <c:xMode val="edge"/>
          <c:yMode val="edge"/>
          <c:x val="0.35728349045126756"/>
          <c:y val="5.0495792805311107E-2"/>
        </c:manualLayout>
      </c:layout>
      <c:overlay val="0"/>
      <c:spPr>
        <a:noFill/>
        <a:ln>
          <a:noFill/>
        </a:ln>
        <a:effectLst/>
      </c:spPr>
      <c:txPr>
        <a:bodyPr rot="0" spcFirstLastPara="1" vertOverflow="ellipsis" vert="horz" wrap="square" anchor="ctr" anchorCtr="1"/>
        <a:lstStyle/>
        <a:p>
          <a:pPr>
            <a:defRPr sz="3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85000"/>
            </a:schemeClr>
          </a:solidFill>
          <a:ln>
            <a:noFill/>
          </a:ln>
          <a:effectLst/>
        </c:spPr>
      </c:pivotFmt>
      <c:pivotFmt>
        <c:idx val="7"/>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32429933020082"/>
          <c:y val="0.18274141407999675"/>
          <c:w val="0.760382421647396"/>
          <c:h val="0.75805652671794399"/>
        </c:manualLayout>
      </c:layout>
      <c:barChart>
        <c:barDir val="bar"/>
        <c:grouping val="stacked"/>
        <c:varyColors val="0"/>
        <c:ser>
          <c:idx val="0"/>
          <c:order val="0"/>
          <c:tx>
            <c:strRef>
              <c:f>PivotTable!$I$5</c:f>
              <c:strCache>
                <c:ptCount val="1"/>
                <c:pt idx="0">
                  <c:v>Sum of Sales</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PivotTable!$H$6:$H$10</c:f>
              <c:strCache>
                <c:ptCount val="4"/>
                <c:pt idx="0">
                  <c:v>East</c:v>
                </c:pt>
                <c:pt idx="1">
                  <c:v>South</c:v>
                </c:pt>
                <c:pt idx="2">
                  <c:v>West</c:v>
                </c:pt>
                <c:pt idx="3">
                  <c:v>North</c:v>
                </c:pt>
              </c:strCache>
            </c:strRef>
          </c:cat>
          <c:val>
            <c:numRef>
              <c:f>PivotTable!$I$6:$I$10</c:f>
              <c:numCache>
                <c:formatCode>0.0,"k"</c:formatCode>
                <c:ptCount val="4"/>
                <c:pt idx="0">
                  <c:v>50045</c:v>
                </c:pt>
                <c:pt idx="1">
                  <c:v>46112</c:v>
                </c:pt>
                <c:pt idx="2">
                  <c:v>38283</c:v>
                </c:pt>
                <c:pt idx="3">
                  <c:v>22921</c:v>
                </c:pt>
              </c:numCache>
            </c:numRef>
          </c:val>
          <c:extLst>
            <c:ext xmlns:c16="http://schemas.microsoft.com/office/drawing/2014/chart" uri="{C3380CC4-5D6E-409C-BE32-E72D297353CC}">
              <c16:uniqueId val="{00000000-2E82-4949-BE82-F66E22FBCC50}"/>
            </c:ext>
          </c:extLst>
        </c:ser>
        <c:ser>
          <c:idx val="1"/>
          <c:order val="1"/>
          <c:tx>
            <c:strRef>
              <c:f>PivotTable!$J$5</c:f>
              <c:strCache>
                <c:ptCount val="1"/>
                <c:pt idx="0">
                  <c:v>Sum of Profit</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PivotTable!$H$6:$H$10</c:f>
              <c:strCache>
                <c:ptCount val="4"/>
                <c:pt idx="0">
                  <c:v>East</c:v>
                </c:pt>
                <c:pt idx="1">
                  <c:v>South</c:v>
                </c:pt>
                <c:pt idx="2">
                  <c:v>West</c:v>
                </c:pt>
                <c:pt idx="3">
                  <c:v>North</c:v>
                </c:pt>
              </c:strCache>
            </c:strRef>
          </c:cat>
          <c:val>
            <c:numRef>
              <c:f>PivotTable!$J$6:$J$10</c:f>
              <c:numCache>
                <c:formatCode>0.0,"k"</c:formatCode>
                <c:ptCount val="4"/>
                <c:pt idx="0">
                  <c:v>45042.857142857159</c:v>
                </c:pt>
                <c:pt idx="1">
                  <c:v>29742.857142857156</c:v>
                </c:pt>
                <c:pt idx="2">
                  <c:v>25300.857142857149</c:v>
                </c:pt>
                <c:pt idx="3">
                  <c:v>13214.285714285725</c:v>
                </c:pt>
              </c:numCache>
            </c:numRef>
          </c:val>
          <c:extLst>
            <c:ext xmlns:c16="http://schemas.microsoft.com/office/drawing/2014/chart" uri="{C3380CC4-5D6E-409C-BE32-E72D297353CC}">
              <c16:uniqueId val="{00000001-2E82-4949-BE82-F66E22FBCC50}"/>
            </c:ext>
          </c:extLst>
        </c:ser>
        <c:dLbls>
          <c:dLblPos val="ctr"/>
          <c:showLegendKey val="0"/>
          <c:showVal val="1"/>
          <c:showCatName val="0"/>
          <c:showSerName val="0"/>
          <c:showPercent val="0"/>
          <c:showBubbleSize val="0"/>
        </c:dLbls>
        <c:gapWidth val="65"/>
        <c:overlap val="100"/>
        <c:axId val="1944136752"/>
        <c:axId val="1944127184"/>
      </c:barChart>
      <c:catAx>
        <c:axId val="1944136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944127184"/>
        <c:crosses val="autoZero"/>
        <c:auto val="1"/>
        <c:lblAlgn val="ctr"/>
        <c:lblOffset val="100"/>
        <c:noMultiLvlLbl val="0"/>
      </c:catAx>
      <c:valAx>
        <c:axId val="1944127184"/>
        <c:scaling>
          <c:orientation val="minMax"/>
        </c:scaling>
        <c:delete val="1"/>
        <c:axPos val="b"/>
        <c:numFmt formatCode="0.0,&quot;k&quot;" sourceLinked="1"/>
        <c:majorTickMark val="none"/>
        <c:minorTickMark val="none"/>
        <c:tickLblPos val="nextTo"/>
        <c:crossAx val="1944136752"/>
        <c:crosses val="autoZero"/>
        <c:crossBetween val="between"/>
      </c:valAx>
      <c:spPr>
        <a:noFill/>
        <a:ln>
          <a:noFill/>
        </a:ln>
        <a:effectLst/>
      </c:spPr>
    </c:plotArea>
    <c:legend>
      <c:legendPos val="r"/>
      <c:layout>
        <c:manualLayout>
          <c:xMode val="edge"/>
          <c:yMode val="edge"/>
          <c:x val="5.6247081540842944E-2"/>
          <c:y val="3.9273776439709716E-2"/>
          <c:w val="0.17765280819187543"/>
          <c:h val="0.10990950455517384"/>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data id="1">
      <cx:strDim type="cat">
        <cx:f>_xlchart.v2.0</cx:f>
      </cx:strDim>
      <cx:numDim type="val">
        <cx:f>_xlchart.v2.2</cx:f>
      </cx:numDim>
    </cx:data>
  </cx:chartData>
  <cx:chart>
    <cx:title pos="t" align="ctr" overlay="0"/>
    <cx:plotArea>
      <cx:plotAreaRegion>
        <cx:series layoutId="funnel" uniqueId="{7BB1B5CB-C282-4AD1-AEDC-7A01EBA6054E}" formatIdx="0">
          <cx:dataLabels>
            <cx:visibility seriesName="0" categoryName="0" value="1"/>
          </cx:dataLabels>
          <cx:dataId val="0"/>
        </cx:series>
        <cx:series layoutId="funnel" hidden="1" uniqueId="{B8963CC1-C9C8-49D6-A1EF-91975120A57E}" formatIdx="1">
          <cx:dataLabels>
            <cx:visibility seriesName="0" categoryName="0" value="1"/>
          </cx:dataLabels>
          <cx:dataId val="1"/>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title pos="t" align="ctr" overlay="0"/>
    <cx:plotArea>
      <cx:plotAreaRegion>
        <cx:series layoutId="regionMap" uniqueId="{0F4C2769-58F4-4587-AEF0-4A67E1A1B17D}">
          <cx:tx>
            <cx:txData>
              <cx:f>_xlchart.v5.5</cx:f>
              <cx:v> Sales</cx:v>
            </cx:txData>
          </cx:tx>
          <cx:dataId val="0"/>
          <cx:layoutPr>
            <cx:geography cultureLanguage="en-US" cultureRegion="US" attribution="Powered by Bing">
              <cx:geoCache provider="{E9337A44-BEBE-4D9F-B70C-5C5E7DAFC167}">
                <cx:binary>zHxrj924kfZfGcznVx6KdwXJAiudS19tt++eL0K73RZFkaIupETp12/1OJO1lUmcCAH2bQxgTJ9W
HapYT1Wx+FT9+SH+6cE83g8/RWva8U8P8S8/K++7P/3yy/igHu39+MzWD4Mb3Rf/7MHZX9yXL/XD
4y+fh/u5bqtfMErpLw/qfvCP8ef/+jNIqx7djXu497Vr78LjsLx6HIPx4z/57A8/+unBhdY/PV6B
pL/8/N9D9dj6ur3/+aenf/3yZuke//Lzd3/180+/bGX93ff+ZGBpPnyGZxNCn2UZp5lMUfbbj/j5
J+Pa6vfPOXzOBZYs5ei3H/L7lz+/tyDgX1rTbyu6//x5eBzHn/7673ePfvcK331Sj674qoXCPS34
v1/99oa/fK/l//rz5hfwzpvffLMRWwX96KPtPhTOOPup/g9uA332pP2UZ6Ddb7Uv8LMMSZkSKr9q
n3+v/X9lJX+s/P99cqP7//1gq/rixf+96vPhfq3N70r4D9h/ip6R334Q/l71jDzDv+lc/NXw4fOv
qPtq+D9eyR8r/vfnNmr//ddbpef/H9j78SHcf3bD7+//n9A6KD0TnAv6vdJF9oxwzrMMf9U9Sn//
0q9K/xdW8sda/9uDG7X/7fdbvR+L/3tjf/k4hN/f/z+gdP5MgmZ5JulXX4K2ymfPEGWSYc6+hgL4
/FuL/9Fy/ljzX5/aqP3rL7c6f3n8T+j8H/v9vwXCw72/P/4WQb9x/f/8099eDuL65tF/Foi/6u7y
819+TsGM/xaWnyR8p9e/C6G/P/J4P3oI0eCJOIXwLBHGlKOMyJ9/mh9/+0iQZ4xJCvtKJBWccXBS
rRu8gsdw+kzIDPY6RUggiB/w2OjCb58x2GomBM+EYCRDHLO/JS4vnVkq1/5NG3/9/5/aYF+6uvXj
X34Gu+i+/tXTSuGLqKACZQLB7x/uX0FOBH+U/j/aB1e6UpljZcL7NVs+leHdN4r41yXz7HvJhlXI
0wCSUy5yXcd8HWS+TzRo5dtF1+viaR9Jc1wy8RKR5KVJSbJTNuRS38rugsBt2ZTNEc1kvXUMx6Jc
DD/sWznkAt9KL9NUjKaWzTGdTsixoqqHr4D6miv9G+pm30t2Gum4yLQ5rrGdrtYWhYNpluz1vnU/
mc83ZoLLYZ1b4cyxmwdR1FSvB57Q9/uEQwL1rXCxKDFTHptjsA2/qFp/P6NG7tQLoOtb4asca9oL
ZI5k7POyWm/qobrYt27wEN+KZm2M0iNvjiY7Z+O9qXciZ4NJ2LauyyhrjmM14ucja8MD0TWKX8Pd
v2spbAPMUk5C6jqYY1jIJRxd3jRM7BS9Aabo537mpjVHLUO8djqkt6VMnu9SN9sgk3lBw7CAWhR+
6Luq4BXbh3m2RSXnZRQaw0bqNuedNDlNrNkpfAPMehqbkTrRHOuuf1HiqbpgXUSnfTrZ4BIR6box
7cxxWBbzsA62uhw1zi73Sd8AkxraRDeN5sg+rF1Bup0a2UCyhPRlqTWInceuzYe01wVd0314ZxtQ
tkTyXrRgJVXU56GacW6nuHflG2ROTeq7vh7McRLVmJtYl8UsQ79P3XQDTNWacq1mCA4yM+BQZF1A
8j3sUzrdQHO1dp2rcTVHUdX2QBlv80V4v3PpG2xyHIJdHUjv9M0Y3rjuapcF0g0yKaatXpPFHGs8
3drS6Hxou69n3H/XD9INMDlZFcpWqo+SkkvXWHuvHCO/7lv4Bpg9l+MYZ6KPmvPm14GjscmzcWj3
4Z5ukLlaVPc15fpYjvVpnR29WNIknvetfYNP45aQVggUg41xh5K1zcXE/c4YQTcA1SlFvtW2PAxD
lyM6F3j6vG/dG3RCCazXqvb6OAY65izQz6Sc9sGHbLDZ+lUnRsn6KDt0sLH7VaV63il7A820ZKJf
Sa+PKeY0r4fxwgrbHXYphWyQ6Sfhl2GAhTdzdWUJ07nRzd0+2Rt0TlK1FjNYuAaxiLRvR2tf7hO9
AWcbichkC6IH4cWlJ+IKDVHsQw/ZgLMxi6LDCMKt0jljh4HuXPUGlnGk42Ahnh0XMxcKg/PmQqc7
zWQDy1G7YUFcgZn0CS1GheiRZ8vbffreoNKUSdc2weoj14aac5lmC/so3Oy6fdkb2YBTCOc75Y0+
qtUXMnmvBrJvN/EGmotIQiwJSHbJcuWrLs3tuL7ZpRa8gWbHlA6TWNVR2/lTkoSbknX9vmQZb5Dp
kAgxKqKOE4n8lUbxLWUVvtm38A00y7ava5KF+lil6rZNPJx70Dzui8pQefju4JNhnyBaWwWnwceh
upTtxb5Fb3A5EmX6qQK55YwKlCWHGJp95oc3yGy9gSNl2qjj3B5nbfJM7kys8AaWuKKpXnqjjqiW
8UDa9iMcaNU+zOMNLMuugWV7po61b9qjTMYsd3bYlwDhDSTbBOpUdQrCu/pjprqjUmhfOphuIJmg
TuuKUAXWF2U+dGkG5YLU7bPtdANKpBHrZgnSy6q7AQDdYe/wPoWnG1D6Ya6SkAAoY3UPQbnJy9Ds
3Mx0g0kj63QO9slSDHZHWfl3Y5XJfdhJN5icp9piXIFw4Vmu2Rm7nalPukFlYBjODguYyax9wTI0
54E3ep8TTDe4TKEw6dUE+rayR7m2DhdVlsw77XCDTa1jopcEqyNeJpujudJFF+tpX578VCH+rv4z
TWGKEqQ7ND83zfzYrwnfaYcbbOpyKCeswBUOiaR5RumxWcdyn9LRBp60kvPUK66OvMf6ANfKvkht
r3bBU2YbpfuMV95bDxDqynAum6UvyJxV+xTzVBH/Vul4qEKFFlCMTLpi7V7y7sOu4IM2yB+sXH1V
CXUkdaJzPWfT3TRLuVP6BvvJjDvdKAc+a1lzZcq8kvuScLQBfuXmdm56kKx7fViGC7OuO1W9Af6w
lNncZyDZJk7linyKAepj+7S9wb0QaDHJU9Rs5iE9qIW1RYj2dp/wjQV2vSTGuRGAGbKYT+t0mDK5
M0I8XW9+a4BqNNyqpAfh/qZeznbal1ShDeIFhnufaQ3q6N1y0xlzu07HPeqQ2QbuaJBrlBkA0pk8
rfJxV/ogsw0SWzqHUY0D5CYyXvLUX5NSHfateIPFrPetVGoCLK78ys63ZKmv90ne4NAsBM2RQjDr
ldavFBnftqFtdnq+DRSjHapGRNhCZ+jrQd52fbnLfcCV4PdGFykRfqAQJunypgrHVu0yOvnEXfnW
mFNDk2EYAYYpTR+WdM3XlexLjGW2AYqtTDOi+GR2LhmOK3blQYZkVwiT2QYtxAqyuL4F4VXb3QvZ
pTeKrcm4yz1JuYGMyfgw6QzEh36V+aTi2VcJ2bd2uQFOV3kkewf5K2uG/v1ausBPRAQW99m43KCn
QqhJdNVB7mD0XZPGXMvlYhd85AY+bhLKTCNYuLXphTJLW9S22Vddl3IDH9fzSQzzE3zsWdDlxRK7
XQFByg18Fk1YTTHAh7TyomnX/oxI1Kd9OtlgqLGNHjkBP7h43C0nUa3LmAsd4k5j5Jv9ROBU+rh2
/ORDDHcs6eOFUSK+3LV8vtnSGpyCYLTlpzlIXujJyw+WhrBP83yzp4NdVWyC4ad2wfoiaRR5OfXe
78p9JN/sq7A289hrfnINdnmLGns7Y5bsxNEmjRiQXeB0DBs7JHS9bkz4rHtMX+1Su9x4x9CtHcEz
Ao+evmFizNO4j2Mg5cY1htLgmT7FCqyyQpFyLHhm0T7HKDaOUfSuTmIE4WZ2F6q+XZP6vEshYuMV
jcQeSsgQLho5vjQySU9cLWJfQiE2EBLLmuKyDeI4ZX66CQi1Nz3c4e1LsMQGQhx1VWP9yk+1HqrD
MNH2cpl7tlP6BkJNm2oI0p6fqqmz52zw62Xpq2Wn2rcQEp2Pqa8hApXzVBBRLUfFddy59q1vTOS6
zNnAT002houhWtNThPLKvkAqNgBFpU2yoe35SYbOPs9YtR7Mov3OtW8Q2rKyXsqy4ifVTChnZDTn
RKU/Mvcn2/h74pXcEq9aSDBaloDrstrpB7HG9aUeyZq7vtentKv5Tge8ASxvVPQdEuwkyiG9hqwJ
5WVdlftwxTegdYvCcV4cvEXG27ue9uSyMVmzz9nwjfUkbUJ6JCA0WR2kyzver7fIs2Rn9Niaz1jS
ZElAvMSpO/WJTA9WVvtIapJvzEeki5S8hqg99+quT6K96SY57zt78Y2PNwQqh7qCsNrUtr4iI4sX
JeI7E44tQ4ih1GZtBbhiNPZvmGvxF+VqsW9X2cZm6qmq+1iBYqIP9lAi4S4CZH37gvaWJZShkQj3
hForF3+Ks+P5wFe+z1tumUKWLI1Vc8lOVQjqHKWhx0mi5nJXCGQbT0+Br6cHCp7e6wafxon440jt
ToNkG09fz1CQDyqBtbM+Hjya7XXgbB9pTbINVnnT96MWFmyGTfgC0gJZrHhp9uXYbAPVuPZ8lAEB
mOoxvFCsqg4rSd0+T7/lDFlKJBCdZn4a5vZVnzB6FVrK9x2Z2AaqoWnaDs8TPyHvPjdjl10Sr90+
4VvKUGWlUWiV7BQM44eKNOGskmQfFxY4yt9XB0jo67XhkZ+WFqlfe2rIWYuu3nUlB9zn76U3VA/E
WMJPqZfJ2ZZUXCULCftuW+SWOtSqJOs0HeFs0IelKCVZciOi3QfVLXmo5H4xaZuxE9YWFbZdeCFX
Xe5zM3QD1ansOk0wQJU2NnldAtH0kHYys/s88JY9JEWgcSJgkgNcbV/rto4FsnHal5XRDVaxybyN
DaCprzHPkW3qUyIV/YHFP/nCP8ibtvQhqXHtLPQ/nIIaxzyO/XjdsDhdNq6X+5IaukFsFMquZQeu
jKZ4+dClaLjLbLbUP9D+P3iDLZWoplTAzTy8wZC59vlQmraAIhYYfy+6+IPveDKUP9DSU7vBt3U9
1XEJRsPZiXSRX2YqqT5AGJ8fdsWpLaeoneo2hf/YictQX3RpLc6jT3cWf8nmNGWFrnEyUXZaV6nP
caD2lE283BdJyCbG4goWDmGPnWRVCziMlOIMvACzrwK8ZRYZ1gQ46IDpKJrwIx1xfQQyN96HLLKJ
sUyhpPd0ZaeFq/nYtstckKbPdkrf4JYhqfi4wkkwGSt74eqhzFfWrfuSbbJJh9VTH4uojTgtDHwl
sBXlhZBy31WV3LKLUl/OdaUh60Pedp9jN/LruWqXN7vsfcsw8qwpp7SDrM8TjI84mbOLwddiX8a6
5RhNqAdIJ5Btaz8t5pBoMTx2lcP7GIByyzOKgg8zW0D+uCyY5nIV4lxONNnpa/AGrzHpmraVgFeg
Y/j3Eo31zWrc9AN//5QN/IEn23KNgEU71fzJKkfSTFVh4I6syDKXvbCkJoeyGdc8wGVitQ8EeBt5
4YZCY9GIE4EL28NIh+65m1P9cp8hbQAMh7ZVtiUUiirT9znWVBVpCnf7+6RvAMzjzCPqIElegJDw
FqL6kANzg77eJ30DYAYGs9AI+dSI5uka7v38aR38Pnqg3HKR4PZoaGLF+IkDQyYtWmjl7wvwQaTc
d9O1pSSlcC1uKnA9p97i9V2QJf0yZHJnEX1LSWpaMk8TE3A+mWJ8PbU0fUHHyvwAA/8gmm9JSRY7
3IhEgupx6l9OyZIWwhq3LyJuaUkSsUQl7ShOmZ9deVnK1L32YKjJPrPcMpMS6O7qELbZiQ0hy0to
gDslC+Q7u8xyy07SPQ2Sdi47jaMmz62x6CYbG/Fhn/QNYGnDZKuUzE5yhIa6JIjsbTV0877aXLoB
7IigJTINJDsJ2uvLblE2r7o47XM2W3pSW7o1yIRnp3JtgPzEiH1QFXGP+zSzSZIX6DnIpoBB7zxZ
3gEhzNtcA3nz1S7xW4oSF6rJarFkp6TBvT+w1fCmyMps2VdA29KIGGrHqKQrTwtcDdy6xmc5QgPZ
Z/JbLhEjYfa4bcuTYWk892guD45pf9inm03AdTXLHIW+4RNpfJIHi5KLzptsp+bZ90eHeiS1gW7l
8uk+0FzPXpEroI/4fXB96l//9mBiDbSsVc1QnlQHuTFHlDz3baD72GESbfBaqzKzUk3lqXcIHROS
6HvbWv9pn+I3eB3IuFQBt8mpnoFOyCeNT2yCe7B90jcBVsTMlVCwSE4qs+lbTpw5dLMaP++TvsHr
2jUEQXKcnEq7xGOQaXmefZLu2laxpRjZNhn0mJnyVI3GFMmwNC8FacjDnrVD48f3RrNE18Sny56T
IQbfqjTp38AR3RT7pG/qUCtS1vOwJKepn+IHHKvmqhRo3VUoEtkGrFToDjehK0/tuuLT3OnndWnd
rjqRyDZYLe2c9qOby5NgSXdMl1jmcVVqlxcTW9JROfG2S5opOdGJdUfg/OvzjId99CCxpR7hkoSK
rSw5+dZU62Vvuv41KXm3zweLLQ21sh5u7CqSnFLRECB8zHOXFjjUaBegxJbepAWRaU9h/RZ5foAS
cvme0LreCagNXBsW2jgqcDVhGfprtSz6klbxR4eqJ2/794cqCBXfAwriNBaLZOCFl2AuMfTLvWv4
bH90Inyy7T8Sv8Fr18FJbXFzcpIqsKooQ0Rn6HILp6ZXTZ1zx8W6D7xbrhOQjaWxNCanZRRz7iqC
ocHIjTulb8BbO45MXa3gkkkkV4hWNB/gjL4r/RNbvlMNXKossVV1Hmc20ytEGH/roDAynHY5ti3r
SWVu8VGi/uxDWp4YYfOF7sad3kGS723IJ5g6K9x4dk1lDmGZmjZfXb1+2bf4Taylgak6heb2s8ji
cPCKjQerGr3PtW3ZN1otCa+xTc40QHapnJnPvWb7OrvEloFTqiwpE8LKM1vaScE5P+GPdBqqXQUj
seXgIGg6UGPjq4sGJ6g9dC1ci/NmiDutfsvEmcbeuVLCmAzRUZRPeAo3vmuqfVa5peKsMFSqpggP
F2PwNDl0pupgmIiy+1qjYUDO93bZhJbYJsj+Ym7YUHQSdrWFeSX7DEdsIm7PJEdlU7GLTsPUD+AP
dHcN8fOu8rF4Gq31bXbsmjCDXcbkou6798vM2kcj5vHjLkSJDWAHOenZ1ra7nAg1v7JUd5873/6I
vMl/u7f7A6+/ZeM0AeGF4tBdqsWT6ppBtahMz8ITwtqbBauQZNDgM2p03Ukn6G0zz4k845Qs5eOM
CXq6oGv1UKscja4LOlfJmvjbhIp2aoukWYg4CZ4o/alv58XmAqO4kDxZLMdXyoWmswVZywyddD2R
5lMSSQd9YSvlc/pRPD0SIYGs+/UVj8tgrtoyq+2tUEK3V6ySXfUxtKEPdd65MQ6vUd8H0xXN4j3V
ObxEWX1K8JxWZd4g7PTnZE78vBYxC7F6Wy5q7qec0kSB0bllKF+4lOp4Y31c+VCM6ST9IaW2KV91
EwypuHVwb7smBw2cUf1K9KFJp3yOFYrisHQLG96ZYTDqDF0BbXeZySBZXvnJTu4wIWMsvL8Ka3+5
DjQDWj9KVP8Bd4a0z6VLs74u5oFyf+OyCfe2mOco5WdLu7R/LhTr0QfrzYTRYUptDacvB6NsxFC0
WFUVvKyXzRIuJ5DZ94exlzT9tBrEVJ/Pstd1VywklsjmwFnGwuUZhlRxgNJOOXXHqpxL91wvrWd3
Q8VGkCBZkmCWG4YzthwrIA+wF3psG/08w+tkLjI4m3TwQiV1y8mPKZw7Vylrc6ej7WZ8gADv1rNi
Cxtvx0BMb/I6AZ7B6zVj2JvCw5y6qs9ZXKvuQqGUJR8t8cvY5jWw24TKp2jb6KAGEtk851528xgO
wKsjw1xAS95CyPWizQRlNZQufs3L2AqmzzBVylRj0a9jwuAypJUlr4uUZLS7n8g4z29DjaV625es
nwaYDADzbuqCchxhWEJCKqIueXCM/1qP2OgvHolk1Scgkq+4zSeewGMFV5OOFzrCW6XnxZajSXIN
0xFSlKetgO89thnQtQATswvyCxorRXRe676E3sRehjb5kKw+MF0MaiXrQwqzVZLPFAljD9Dn4PtC
6S6zR9LNfWyv26V5ApjoveqP0E/usnhQrZuyeE1rR9LhpJHgvj0mmfIEFSwQVbYHIWs7P2KoN4RX
0lZLPR688yUvmlB95HFw4qhHL/scDQjMfOhF7R/SEXT0udcj7ipQnk2Xqxa1VtxAE/uIX8ke7jvT
HM6N5s5yXl/NaYNeZjgz9LObJ9cUMOJrfcDrqA+ELgLG/qTV+oY26Vx9rjgn9FyJTIk1r0hUfXkb
jfPNzeybhc6hiLTMmupDUGBUzS1dVYbrK5hmE2tTzE02qPcjeAfqjoOOolYHXPLZXRldLVN/AEpe
pfsDNQuf3/MEjetjTIape8vHLBE69wqKyCgPhPr1TqUlhOODgciQtoWZRaPXHLxHEvvcIbhm7E4T
3OMP+EKgCSZcnaHVkY9lbmHqUP8F2re6Zc4rmMjiO6CQw2AWmXu6SDzlImjdf4SBbsBeOEVI5kxW
wAShZnL52GahyvI1oT0CtS8w4uoDA1eavRpwO/OPZEl8hfNssgOFtc3TTL8YPxB3V6tR9h+isy61
OY20C89LpHG8n6tJGxjVtqCuPpuSTQNMoOo7mBSVo6BsnZ7migugCTTLQBp800wpmtLc0LYn02GQ
JQEegcHJmH6IYV7QUdCG0y8hgUOYuRxdlTlzEg0U+k8pwuPwvJ90aF3e1HFaTwwuQsRrBZMZ0CfY
1jCXuYyS1TaH0DBnL0PrsQC2lQNOCjwj2jh/0sQNFVizjigd8qRqIw7npu980sNEoY5XL7giSX/A
nq3oEtXUQ7wQfJJVnvRz+XlpzKTuGmHm8MKVPcNn0E1FH4ykNoUeQMlk9RYCfdBNbmRjqylXo23n
S9nTtY/Aq5YzqnK4H4I78MLTqcVzIYIJ1Vuapc5foAGP84fRzLRNip7VqpmPxsfez0U3RzTdhR78
zO2olXkazIPqtEghnWwOlVkzafPRufROKOpD3pqlxjrv6BzN+6QMfHV3kNtrsxwGlnHdXS+iW8Vx
TscuXsNNX8JQjnE7hjPQhlO65CXUxozMLXKL/cRMpDXL20zNUJxU/UA7nQcFE4EamM5QqRdahAFc
dllGeg/Dx0xrD+ukfTrn0HszdDxvMch4P0qRjS9s02jXnhXSqpHnNp0GiY5plSb1NXYtGpcXs5wa
3BbZuOBqvSXrCnuV96k3AxAI/IJKdHA4sdoeWg6b2xZ993S4zv1Kku6u83IE2EHv5IL74zpDka/N
/cCqVr4w/Vx9LBPHICWIg8fxMYV3X8tcEKynz3SeMyClxTFt59wksfUXFMuZFFWCyrnPYZbgLF+h
kELvQJWN9ZTlzCxwpP9Sl+u09KcObo6yt+ABEa7zidZZckKYh8DPA++mRudtq/DyaenXbrgucbOg
K92LdX7TmnWcbilanEeF75uaEcgtVnACTd4BHlf1Ns4jGEiBRy/SoSCMwDjqYonYxnfg1XXyaxCL
wFWusQWeQqUzoh51ZtrhzSADcdWZOqJkWvSG99kNQ72seBGCa6axqNPO1RdLG2uUHbIpbbsp7xPw
Tq/mREzgkintafuS8JmHyzKLnt+tqEFTBTNLarbqAntftWMxgE5knqQVAZYHpKRhLhpVOWgrEikm
5nXWOgjluWOK+V+TOE/VY6dLOnbQj2HnsOQT3Mbrj1nTwaSYPJmNJu/TKdNE5f3g4ACTlzKsicuj
ghlS6XFc264BvC2QELJ8MnTR14xPA381wTtnr+uV9cbDTuC0hyIs7+sWyl+Sgzy+Vk13JWnJ9Duz
BtY+CFx3eMlpS2La5yYbUv5QswrCQI5rbur31VKVQwXduAnkPnnsWNlf2lHpss4pAXbzu9H0NWry
ekIqAQVy78G0yqUW1ZnVkMfiooaxnRr84MSSFPoLYAZMgAxqgGNxXlvTlZdKhRE02CwxvYGcg8p3
xIBvPHVr+jRGrF1hRNyHxZGmOcUez0OT09GS8qNdMzfewVIYOLkyGDtez8iN+CW3VCZ5Bsy8NBe2
Da5IssanptAwe6985Uoah8s0GoNPK4X9gYR7ctlbL1QcoClxrJaP5SqGJuSLSoj1eaqQo7fJCpi4
Q4sG8lne9dnauLyuODM1uFjjM3j9xVWaQdSYWttCSkJr2hxJNlbicWxgOlqXd4hl8PdWwwXrBbMQ
pd6vSynEVdTSsQ9VCv7kYXWgsLtm8Gx6oZwl0/MIxBZ1BVQoAe12cHye5ZVvx8F/Sbu1nY4IJpey
kE8hVe6inIgOH5oOxm68JkBKVK+mOSHB5Q5aiZd3TT02/QXcx6o5zSXiwr0bENyZfl6tTNv0SIYp
8jnHcEk4v2myHkNCP1Vzxy6XXs+1uLCVNtAaWqsk2Dwtu8Ae09BoBvG1qey7GZwI6AcqcjUDHcSk
hF0APPf9dVytWe8RkPfuFjhqsRsRkv8h7cu25LaxbH+lP+CyFgACIPFyH0hGBCNHSU7Jkl+4bFnm
PAGcv743066uTGY42OkuV3mVLVtIgMAZ995Hg4Dc9eTDVPcgP9ipTtXnNE2zofSRIWlxb+Uqz78x
qEtljzmKEOyoM7zDX2PT4k36uYiUADuIKhscSsp/DFFtqY8zFAImJE+jRURYEQj1nNGEdrunumBd
8tustIvtw9Tn86MzVkWJ11bMXXUfW3PWeyxOxuqrPSGM9JpGOuScNXHT3mmSTPZp6NM8fxKiScrc
G/KZlWHR8LqFFTD2lx5orOaxj4YhP5mss6zWG0jlWk9J08bsR150Y3+C52snrwKAjnpwiw5uJc2Y
CUg3ZORO8z5SX6qmKjhstiuagKa923yeKo56JE55wSMwi9OB1dVLhGQfLTN2KD33eVRlh0G0Vh4M
7tA5n6zYTOxGDzF3wmwZiwJcsEkVD3ax5EvslQusz9Ok5kn4daX7Gt4mjoy3yMz0t4SMifwEHb9y
yP2ocoouPrjU7fknlOGEOWbTkMMSjhxKbke+OIKcGlO6zoE0ZohNABIxHw8QakiqOwSfznDjuDGV
h9L0cXzMbLzQm3KpZHQQfMmQ7Dopbe+iISerGGlfp/ltWvKxABaEjnl3JnPXuwFDvls8DABfmXOf
LOixygRq9rHX4yeUoQPlf/kwCde170qClkggpJU1+GFBQ3I8O3YXchtpmdffY1m65mvv0JY+0gJR
NBI4UGXkY9yYXB+06fRwJ0cmmzOP2g42n/YDOadc0+kODFIoUHgy67j6Ja/TZjq66TJUTzleMYQX
soW2J20jqXmUg+ENQis3c5IBFSOmyvsir9jyMEgcdFX4vTURlp3FHHNrCQDnS6vUj6zZUVDdZNKy
vX9W5Ng00UTZUqvOeHye4BGh3lLWLVAw6Bv/8s9+/01dvmUR3tWgk3MxkfYW7XXykFf1PyMAQNv5
df2HlV3vIE5azqJOjDca2j7NbhN9/Ec/+5as44hFt5Vdj+dWpvSGJUX28xox7zS6nhFZF+o/W5pq
PFIdz3Oan4u6SJrswOUCvUbKdXQWwCKBQgUxxzjoJLNw7ecSOEYCge8fqcqRa2V1LB5SXKQOBVOE
Xsvk80bp2bO4nm04Ihc0uID3pYt/wDQ8jk6srVXjZXnDHK8ogHG9t5RTmZt4SGmCa23QEyPLXOwp
ua4VxEsb3FQWAZaeuzibxrNykD4cB626KTQRHf+oSUfzIIeIyl4v+G86NFve7NTmtjWY2ZwH6N5Z
N0VaK0sEdkpJHah6QRnGE9HCRYBqguX2fsIV6meAyFFLoCS2kNmDxxjNgYrO0sepiIwOVWkzcSeH
yMr9pgJzqz/wLrdUj4KAxliVh5QVEgEZBqv0bge1ZGMa/QjA4Ng/QMwlQfJgEre9WfFltRU4UY6s
+pBmVp+LQzHVmRMwncwjLCbsDjvlMmbTaYg1HZ9KzGahllfIoUwmLyoiCHIhm0X+Pp9aW1AUYtol
NolPormtAzZCdehQxtZkhhvuTmp4KF0ZQw8sH81YpcHzk/hLR/7Dn1/vTz3073Uz6zRO/prl8j9/
+f/v/z0g5nnsyH/+/joN5j9/9Tj80F2vf/zX/a+N+a9jX/3+PCNm+++sK//Pv4SF//pJVuH4V3/x
RsL+b0Tq/xw/8ze/+L9TsF8ZEH+vYO8nafHj38MCVk349R//S71eyn9xCtEJYdP1tf8lXA85+39x
TJ3h3JboTdGVDPVv4Xrq/Au/YjsutOmlZPhHXwjXy39hEg2EoijFGANA/ez3CNevj+4/jxElFRCc
Ed1LyZkjmb3FxtlOYWcWnZZbihYRipBuLYuPnXaL6DOrUOP4nMRZvYP/eIZOvVyUEU4dKqVwbNQs
5ZZbkk4iLqO4cG8c7zH2Pv189/DTxz3S42rrr62xgSWoeeCNFLl7k3tff3mKvbvI2+ktP4trXVti
06edZVO2i8IS5vDx6/3Thyz4sPjfiLe3Fbp6xWsLbfxay3UB2DcWulUeDZ6SAJtBpr/TpX1GWV5Z
Zku1ilhCSVbjs+TRGDT1ySlRN1mSo2QNugXaj+wygOCacn6iKC+ScvAshIWoufpdvng2v8lL5fVN
/6dx+VuB4Z0vuaWX8fnfx7wcHx+Vf3rQnvo/LrHplrYzEUNUYOel90viP3XeA/P2jndtbb04Xdx4
5trMcRiwDhhhsYWDNHG0TKVyuhOaN+PByqH2I1Pb9trYcj68MD0f/vxNX06jeA32xqQMLCUpSrjK
obAiW3ZVY0UMtc62O6HuXj/Fwr2plikLRwvYnFGNndflUIu7vubGkHCGThNxXDxodOJhTjbtMVSN
M5DdRBm2hprjQkbpiaHXAWT1qpsSkfsOZueZafLyPNcFUSEhMCZcCL5FtkcW1CQ0Q27VliC9MbRr
DrzS0q9F7gR9M7ZBnrfRqcsSdUi61rkVQjehoaPr5ypuj3Hejb82DdGN31Ha+1FTuUGRplPq9em0
BNYUZZ8sZACeEaW6d0CKBVgwrUMgWN0TcKbdITWDc0apsry1srw9cKHsAKy/9iiYcf3ZgTyFzG2K
/1dC2nsoxfH6mb+ObmCyuQTbyWWCCMJcJPG4ci/GStQdhI7LXsVHu0nIURVr9oba/3tXAfCa2jZG
q6CJyOWWDDVjOkuUk6UFbaZk/iii4aitfg9lsX0eTFHC0YyXjHOi4Jhe72XRQKqiBsmPXaf0l8at
ELW1Yvyplw7diQovLEVdBhAmvDLc7JbjzPKoBD424sc5dqogx8qfZ6QOB3fh/afrX+jSUgrFM8GV
gPvf0nrrcnbr1Cb8uNBYHDDgYUGqjlYAUsP38Y5wGZSNB+FQaFlJij7V5gAzVi1NlCbyiG6eOCxo
0gVdYe3RQbemBUOrFAFNh+IqIDzZgm4i06emG1UfOhFlf1QNXRJfFzz9o4gUzNpinOYnZQZV7Fjo
1Ze+fO0ccQ4G+QjhcAVU65b/RFhCwN0aolMcxzX35FDor6CLjfmxImn6cycc/S1FrIUqJTVszz9s
jRusG0IxTB6Clj2j7haQXJYsaQZuihA9tjb2F9RvRTiZ2kG/QufkExtUvKdTvT1pDlO6PjlEgMoW
6g1Ts5x02VWWPA0QjQlhdeOvDUBmvtGOjf7uUh8wMrHbeRpbi8IFp3Aa+A8MC57kep9fWBRRRgtE
zt06BCU39hIi6ntoI6Y7iK3tq3heRSGKtaHITrDJ16tQSeMZD7AO286Ut7SMak8WojvmZnqfwBnM
IzwDgY/AYWI4ENsGD/EgAOt0sSGp1RKMDnIoZ9mVBrywIdQOFUwxcVHte4OHqtsJVOCqCceK1QiS
MCgiPcaKJyxoW9ihHdT92+Xg0wX2hqmIyBu2yDSIeURTzpA9j4QXaB3Yya1rl6mP5kLxLnb5en4O
R5wucA/h1Z2tVVl6q6sTIeeQRJF+EFGhT6RR004o/fba4Vm7gHxywiGPsQ4ifHntLAjUxU5p5pCW
ABJ3Y6pDq61+u26LLywi0H13kLgDdSO3RDvT4bIpKxvDpqbLIRvrucJgraT/4/oyb2wFTosgDlJr
eILcbmOHa3eaWk6LMQSEjT06fRvdMaLb+2Z2F9/M0/z9+nqb8Hj9QsLB1yEMfhoyktvHJIom7ud6
CmXF448SnIYDtXMNrFDZBq0a86BrOnZws0hiEEBa73y6C3fRocTBPAFFkD9u9VNz2EsnYcMYGpFa
h6hJrdQbEzJ5BfToPl/f6oUv6KyDQCVKe4Dbb+UaEKZjeu1ARwy5SvPCmwvFfIW2717189KebMQg
hDoEt9/eXMeoMXaW2WoOQdmrfsWJOiZ0K5PSU43F6vP1XW3TYY4oDqfn2mr1qlRurYdJe7Bh7cIK
0Uex3WOCbqT7gVhx/aWKLesBzd7SfMtK5T6Nket+ArnPdiHACT1mr+4Lle1Y52fG2itfKwWzhWBE
Kubim66f4YUTiCeZ8WwkJIxxDgPKidOgTpaD6vmRLRj9ELQdoESYKYOgN4B5J/SYJ3JofA40lnPK
o6mrQN1xQJEtAdkpggRtji80TucPbKrsLLh+fm8eAH5cBw5aSAov/eb4JsyI6Et7mcPMoc7vVWSR
dXhE3/mJZuJ2ZHF2RMPb3PfO6BwYmfdEhN446nX9dUKtkvh6cpvYOV3fCF62czjbbeSxSnGfQk/8
ZJel/gqmcHpXYe87l+bNFcWiqNzYVAn0R2FsXn+jpV+6CVSaOVx7Yb/kaih6P85NjWYcrcwePPzi
ahRTEhH+Saq2RIlmzCc9SDGH0C4Yzk7mmNRDg83xWcLIzvW7dJyujTQAwYGAR9jsDM8+GvsOj6/o
0NXGYKQUZnpO+1DV6XhAx3g6TI4DKPn1W/Qc2mxvPSwLxikShkHEW1WGhNrJ4phpDpe60167JEV/
Yp0dfbBTd+R+RqqwmIdj0zj5zwQNz0c+yUNc2blvYxgHplkN6T1F2gL+ThF3bCcwe+NV8L0RBkLz
ShAUzranYqWOVYyQ7g9n3gk/qcz8BJyMNXpW1+lbmxR7mculz6BQFMRsTYFPscUZR5CRcKFxREJR
yMLP0Yq+b21Tf254Gx96DfgYFH/2pCIvLgpDiOImJ6h8rr/+wvKgGzdYImFL2BZjAYxMxvUBekjt
TyzVCeSGCSZDZE1t72lpXbjfKF7YKN8jxkeRdtOWAmwASVWXkjAdVcMB0FDGOhTR4P4OXIT++fpN
u7BJGzEpEGlcIV7cylBYk4qK3HHmMMmJhVvUocMiUtk/gK1WHfBz9B665ua9gdzqxxAxMkSMFCNw
Vyv64mjlAEKcDSmvkKAu2mBsHG9bn4zZO1UcETE+LwRrvB6kCxf6eiEIT9sAY05LWGbg/CKhykM0
+/qd5/omFMAqEu8Um2JwmdsSMmkjB7qLNQ27RddDIKKxIgF1BIC917/Wtsr7vB+HoZxGOGj0EHJ+
vZ9KgmUS5RYNW03IdFj03LcBBkzGi2/H6/FR1IGfTBdzNxgXIJC8RjMT+0AyO4nfjQVxPNKIPA1T
NxXvo3/9edqI0IHTx+2leDKvf7pIRVUDUDoNs8JtVFBnOfrukifLXnnh0hN5udDmsyJXLaLZxkKY
21mtgNTWIl4ztcUnqlsIL14/9TfpPkwch7uWcOcIwrYPsm27vh7zCtbHshwfoF3rZzTS2dlMU/lT
KYzzmGqmA3TkAAq7vvSFcIJDAMmBoDGCTKj3vj7RORrzuXBgC2ao+D0JjDUgvm7V9Al+AVBvAHnI
XWxF842tBJDcQwHk3/Wf4MLdRnqHvUuKP7NtorJK2bdKGhLKMitWXV5jxpu0N416F0/i+fLgZiP/
RC7OXbGtE1czQB5V3jkhiQUPiqKZAjN35ftdFzIUREjwrWTt+rw+ULOyudUUOWEkLInafTlOKhjG
tPwOQ5Tkvlki/vX6CV64rM5aJkL0jjsrt7VhltcA0ySFE9ZA7AU6dszBnoEsRAq4J4hxwTEreEmY
ujVmRgXz9e4QGbm06ChHGbrrfinzGJhAFVlDoNpyHc9ZO3oPIrDtB60mSSFpYLZEvVRA+uf1mqLW
zUxpzEPAqFvnaGZIBXpJW+YfNE3aW8wabj7Fbdz/wTt7BARlSenHeihkvRN502eF6E3QhGwa5UbE
CRQnvTGOKMKLkiyZDIeuV5mfT4hGjh3t2o8Wibl8gPiXXZ2AUOqyU9orQJDyiYnvXYyR3EeWdzLD
C6oGcZCY6vwlixP0rg08SH1OMzZrDwDXxD0Mmd19qapU936aRiwN4oFnhU+qJfqpZrT4GUjZ8gHY
K9N+tZdc26BE0OmxlM7Y+K4BMTAYUNiSpyRuouZoAUNp+zOz+Hib5G0HqUWuMUlRDbOT+cIt6e9a
Dx0A31Zb3yVQxDbApbP8S2slJYCDZec4h7Qw9SfRDxyQb2ORxWuMcYZDzTr+HeMyxhnAxgiiDm1F
cSTjbKmvvSqdyYcoaK6DXAyWC33NTo2+BQ6D9svcjh7RHxrqT5kNcmng2INaPADUauiQZa3BWF0k
gRjP1rosOiwVn36hXWJ1j5hGrO+HUYDSIBOhfwEA0cFPjFrXryYChP48l+kInDPYI1+6oemfwFuq
QFMxC32yAT/4MWvGv7sGU8FPUM0cP0pVQHQrnzKAkpaIqRlCQcjsEIZPwv5YUAmZ5mFm0UedEmv2
5qVTHzrTUArSRRx9TyqwRrwhi5qHjkSDE2JPw+e670X0KPsY3kPIjLSHotblQ1/RxvhQvMOkcG2P
GHUAkGz5y0jQkjjZxi2A8gVy8BC1Yw9ixjDHYY/fI/dKahLqi4iI7wCNjdhP21TVLdjopPKdZWoT
L65ztEQk7wE9jnr8QEdTxm57TCtkpR8JBn/2Xlm1lKGePJnedwubRGfAqOfB7xjB8NvEHnLjY6Ya
C3Pd1OQ0McgM+DUrjR3ELQZte8C42d9rEQvl5ZSOjp87eihvMF+n+HUq++k7QsjlPDu5C6wzZbr2
BGsxvU+7U/Rb7JL6N253JT3Wui+I70TEqg717IKYEhNpgtwUGgDuEdQCAopYmOOeAWVHuhGIIAsQ
FdyQCX22sZhKfojhJP/4f0M+jZPJWhvu06y/9YzqpwfeSbNH+r/gpxX8nKAOMlEXpZnXliizG9Va
keEhIH468TQp2vyQYy7fVx0DH+PFQlehBpkHMe3QRXup/wVPCYoSisiot1Hw9ze1r9K2omokDQs7
mMkHjY5FUALKtGPmVnO6NXKwcdgf0kO0cTabnOa+s2u7ZCEz1lDPHuIDeH6XAG/tEXhQwPOASP4t
cWZT/3HdkV3yLnDP6IvZaOTCi74+X97X8RoqsHAuMsC1q1TMJ2OT5ZNoXOcEOalv19d7u1UJOAhZ
6z7INtnWs0RNVFk0GUW4RGWXe8lgkdRX7dj0t1a+COlZRizTMVkshL/Xl357lRyOGgrDvCwQ2N70
c9F0oilIP6uQD5D6GA/k2L/FaU4yHwIwwGuVtVP1h57BtnpAjKq93PNCGQ6FW7Tq1qQFudk2cenm
RPJZZuVZpjKJMbPXTcB9TSsAd+0YcfahQ0oHxpUFjZcQfYAGkhdc29DtMaT7zElV5TtH8jaMQSsP
NS2gBRAC4xq8/vq5lbb2VAAS2GrAZtcByOp2NlTcDDp1f71+/G9vGtbCW1Zos0GrYqtp0EDVuKpJ
kZ8r1+4PiZ1ijjZl/X3CR0hPuUOys7e3Nw05CyADOHJUrqHZ+Xpvw5ByUBQXN3TTLD8BEeR6Uizl
vZ3N9AQMOvXAYDA7L/nCga4FQozHwh4Bx9gsapMJ2AxhqxCWu3iAIweSeZbLIe4J2dnfW9MEQUYY
DNwJCZT8tnECYpV0OmFUWIuGHS3e5zddNu91zS98NQfNGcVQrkUnext/0QhzgYC4ASiHZBZcSGT9
ZJJxOKQjGfFKabJTRXgex/naFiKSRz8NvUE8FVTjX3+2bFrscULWhtowqwuUvlyYP9QzbMD3x9b+
iKFCozyDRWjAmqVRFJ2yhCaPZtTOh9QC38ZzxwmtReDvradodkwcABRfFvcZ45XwQIJb+pNpRPcx
A9Y9enCqmX/roll9XtkVewCKC/cBQABke2jduYJuu9npzBBaii4Kga6eKHAgEQaT2QoXyJtjMeXv
v34u4D+oW2DJtZT3+vAs46pmAfInbNrenT23qkrrgKqxfuJFWb9PdnrN7gDHWRuSmALJVrv6erV2
ptpywK4Mu9IgvIwH+a2Xpd7BGl2451gF6ANAjdCX2fZkwASlQE7NUViDW45gJAe75DMBtcbdWeiC
f3BtHB9x4SdWg/h6O7nDh1byJgoXJ3WWAOEyQ/TnrgyrvhSeBgH10LhTgqlyS7lXFLh0UdZyANJX
XHvwZV4vXqBeDDwxi0JidekTIqKOfc0zjOxmFqh/T9dN8aXFUBpEkoccFoCxTTUyBolyVNNghZaG
QNnQZipb51qQ80BVery+1gUDgouP+i76vIgy3sBupqXKOZ2tMC5UGRRD1wUkZuOx0+Dk4XnsWMUL
Vh/NCuA+UUlDw3drFQXpugnyXFaI1njyyEirA0wXKO5MXlQeKHbWWdNS7tyctxUd4FRQ0od7RzmH
bF1bNyTdBN9thQzcDeLFJUkiP2+pEYdeQscukOUolWen1firBYbCiRkz8x21kUs7R58PnSL8D8it
zWvMq0mWQvZWiMLlOvyrjgAMG2Ixjke7GGYSLCoGWd6NZv3T9U986YVC9Iv/WU0Cdub13cVTTIbe
lFZYtIu8LbPF8mOkszv7u7SKi7eJ/hfCVbEtm4EssAjt1viy+Zw43og+nB1UkHPe0/m9dGPd5wAN
rW80KDbbkYOCrGSUYDsOqkmZ6hpfpSCqxqi56hiMq+und+kx4lmINSpC73m7XKfSrGhsVwERY3jA
7dqg/dRJb86Gf/A40ENfe6+ApeGqbK4IpFZmwvoiCvu8Azysd7P+I9TVOJCMZV8CkcobbC9rlXq/
EYA9VfhDANLF3xiBGle/W7DHPuq6EGXZwlvoIj8XA+ozKLZWh3efKc4S/hZ6EIy9iWtFgaL6mkyG
BRVgkkYUk1cT10bxEZr015e6cC3RZIEZJUDYo8i5Mdxo5Vc2LVoFwRmRPhQMox97KA+erq9y4ZKs
IRhcLqCLuPvr43/RXIkBDRhrRPJhnBfTrQta3yFuafxDxaIKri/1rGq6icDgGxQIBTBpmMW32REr
GvBBikyFmTI1eGcDZNgxHG5NvmUM+gcvgqKLoKQQ90DpmWHwGhDtf9b2Ep+iwnJ38B8X3DJEJRAB
ABYHz7wttRYobJR6Wv2/aXI0Ct26geiKHm5i1NH81IqLQ6olIj44tHbnLC4du22jUQCkM3L7rU1N
AR9zID8Shei16OwO+s2AQ7kVBypXYsza3gTvi8shR4XZgQF/k4yndtpAHUkgWsRsjHMiJ9sNcCXG
DyMEZ/YkOC+YOSVcRPX4M8dDWX+YF1dqjBYF0j8+M+hDEgTWyfIQ8dgeeIazZwqidh7KhaIyIlN0
BgFSZvhjGwtLaxiLSnQqNMUCDZeyY3bp9yzhy2GOiLaOEnOBsluU+U1+KmMz1Iekgh4Q6qHTXOw8
qOdke3vL0eoW0KJ3kShuU99s5IZnoKKHJhtL7isUYdobDdWN5FHXGuVW0O/c6BAt1jAFVpHnt0OZ
TT/kLPuvCQSSOg/yQzKGCEaaUfgFWpYnAnrgDTSWbIxgh3ZBdLj+Mi99sTW6eC7Nr53J11+swlyw
iSxJFGIKESTolZ1+I3lefwNeDioTVTYItnP/3749pGLolK9JBVLarSkA3zYSCS1dgAKWsT1xM9Bv
ESj4JAC6osD0oybV+SqRxH9ajFHvG+G8JhhQiEWLDK6DrHnuxl/1wuRqiXIXcZWtlT/FMnOO+QSA
345/emvE14U4wI6A2aw459cnmwD523ex64RtHLuYIldU577je3KLb583VoGXAGANxRbcuderQO1y
Jf0arJInxZEuAw9KXSVH4BKnnet9cUNIgUB+AhwRwMfXSyVz3SfAKTthEQFEo8APCBs29P71C3lx
QwgjUDhEVQdR2etVALIli5mlEyaOrgKjaOvrgdhnxwI9/B8shVQaxUi6ApI2X4jZMTiqzYhSP0yF
71ZkPjQqmfxlruk/2RWkY9BvcuH+tpe+An8czog4IUaj/kwBFgIQezQnN2/GHdf29kGvCCuHgMwC
+Acqgq/PD/oEab7IyQGwq+7OKa3cIynz0Z9UxcB1svcmVF5YDyBigDkBAwScbFtbiRKbVUAXuWEF
4cybGkJ5EB1YzKGyzeBTOe6Z/EvrIdrEo3IZ/rvlQVR5lSBw6GA+nIx86NHq/oi8rTV3UTmI7ySq
M7aTiV24keBAALwJwN7KUto8sRgiBHlvNW4IcYjZSyG74KGD/6zYtjeu49JS+HAIDhBq0jdwLgcC
W8CP2W64VIt7A3EVE6AFNAUVr4YdM3zhNaNqiIe8hkBrCPj6nkAEw5YdnE5oD6jSdhpqVpO2xp17
f+lrvVjl2X+/CAhsmgHHOxs3xNMA+FKxGT2/eQDDPe3CCRJgh+tP+uJ6gOdLmA8UarfggBHhG7T7
NL5VvVSQgKmhmgHlPy+e6urIeUbeX2NxUV4BEFzhYqCctDGKljs4qPHVGGwzRPHBMao/SgDy0OWa
9tgk6xd5HV2gCAzu69pGRxV4K54MvTeDgADDrIUmzO8aNKZyjhuZl0vuL6NNwsZF97kFUyEQmWa/
Xz/aCzE81gc8AVUQgOvQb3l9Y7p6wSRnibMdnYw3YUrj/Idql54Heeo6hV8yaeoPc5vr8eRq5rQI
gGzzE5QazQ3o+mu3eUwg9nT9x7oQTsAWAOEJngswVduYq9KQNtGT7aDuJOYGXPOa3mc6cn7t+xYy
S2g7K+O59tD/QVuBFvD11S+9InS5QHRBiQ1MwvVBv7jf5QqNbhUCXqktE0wFtAJBI7bO11e5ZBZw
uaAFBR4P8CEbm57EDp9SC20HJ2/nB91DDiUbZjdwp+b79ZUuBNQrORue6pmxhHzh9YY6PKkFBR5M
TJ/Y8DhWAGv4FH0O6U9VIb/xymTQZVDxeCYEybaiI7q9HbQFrv8cF84VFEnXXXt6SCjeRGmY8wOC
zaxCiJXlD5D5hMIIdHU//4NV4EzQrVJAF24tu5Y8h/QSVSEEZtLouToCFPbsdnvqEeupbZ7uCkwH
xQJdhrXc9PpUkzJecRVxFIJkUEdBYTDkNtCFzr8UBfQlb8asaO9t2kEF7voOL9hDhuweuwOP823n
Y9bovFd1gftZ5PSuw2nfQBszvuex7vxqdvdmpF68PyveENA+nCr6zq936tSQGKE5RZWE28O33I2a
ewn9CPRI0DvAFNXpIFLEqKC7qpPJs/I4UqjPvX/TaB/g/kAeAMJum9OeINC4mBRdLKjZ5d+mrDbq
JJ0yU15TIWA/4G8s+Y7jufBEEYJDLgENd/jVreNB2WO0SwVH53ZO7+slST0bSiXHDHqb/2AprIXS
zWqGESW/PmJbzNCsFQl8HIAMn4tU8R8Gxll4SSmgiHr9LC+YV2BV/7PY+lBfGDiIJU2VmJHFyD4h
3LcQhX/rl8KcJ8DHKi9ZYvoBYA/X8WoghKfw+uqXzADSjbWxD2k3srVGDL1HrmbLDSHCWz9AeGy8
A1OA7YTMl74dcqjV0LC1KLP++ss95ognmn6GeZ2FPnA7jf1plvyQtE20c5yXNoRKKVrIAIq+Zc3w
JF4WUiDqivqsPefRkgYu5Hn+wSqAYK7Z9drIfQMK6DJw7Kpchgk0wE6YBFQHS9o2O/fwAuXGZWtb
EGExWUH3m4uIAvbULLKUYY1BDuDaUfNptiH4jAeOmh6EQP0mmpNTw6Y0ME1EPMhTOncAj6FpyXsr
IBbkyhyn1Q9lFtdetGRi58tu7K5EjxnFafDMkCqgvr+1u+3Ma1Cv5HjOzNB9gMabfZz7pf5cTG57
50LNI4Rh/n79zl5ccy2qonyL9sX2NqVzbTiNxhGS22jdBHo2xS3igi5IIf5ZHxpOCsAEnBxIyOsL
b2w9NouUgSBBVwRsizfXuKy7CpKc03qtRPKgoIzhF3wofq/Lvv5hZw2u9fUFN5f5zwVBhUWlDwTI
N4BVzSD5mjDTnpvcMucFokgeBr+aHWrN5VVQpF2ZXQAnbIIfCv9lWVMHicZ6KhJPTdT9qDK5N19z
YwT+3MxKbVjVIN5+NhonAkztTp/1CKMGnT6znKSI2Bgkdjz8cf3kLiyGqiVY71BAQO1hGzbWNJ2d
Nk06TGntrNsuyfpjMkXlwwwZ3p0nsDq7F6HHui9o8SCYWkE58FDbRzoKSOQ0kTk3jWm736ssQXGD
9XPxUDVFDaWmVIvhBgPPog/gjhQP80zH7v0XBYU3PL/VvCJM3wSVUteouOnYnNEC6+9Q0VzQ2SfR
l/cfKnAeCmJ9FMZ8m4pBp67uUiBLzhBqTjAArfxVZ255cHiz1/O68NLWt40aGEA5a+nttcOYiBoT
Ojn6DD08cuonN858xSEF7EE3tT91inbvJPusnxGIBchJw5wD0bytVTV13E22FpAL1Nb0oeE50lm5
qFvW8r0hDdsY7nktNNWQTsElIqXdbI+3CjFwIfozkC9tecPrJIGeHlRcAd5Umt8YoesfVT5DiSQH
SRd2kDyxWO/NxLrwSHBhAJTEj0AA+V9//YVbLpk9sZYt3RklkOVJxxGkOd3UWOA42HukggtfFAcM
7uwq1/C22+5A60T2adqfU1PNtxaUQT9HbV92oTDSZT7Ux9q9Ws/bJSHQYMN0onYPXNd2e24xV1WR
ZuZc6LE+TEIeJC0gltlA8Lsas7/Uzv5WkOitGcVyEmkydrn2gdZA78VpLiOCrKRz9RnIpv7cQS7h
ZGGvwXvfIFaBVAcgeaiY47W/XqWALi2Km5E+p5gm+dDYGPZQxApkKtrvkYi21wNfCsR4tJ7heZB7
b5Niq+WYudJbyxksz/bG1DbSfOLURxR19Y79urgUHvtK7EQutTXXICktJQYzkPNEkirkVf81HZvx
ENv2O+sJqFxhUy9WWi/Ni69EZxvCsF1NziJpxuPYR5gyZfE9otLWJ6yrYOAC2jAKhfw3NfYBaEV4
ip6eKaKRysuF/IJ6E/qPAGwfho5mh3pg6h6RP3ADdG7ex+BZN0lBIcTbRtUE/OONS8ppDkhA3pAz
GyNzU0HKEITgZa/xuX1f6yqoqAMwiZQMRY3NVQRlW/IUluVcgbYQaOBnQG5YxqBaUuWLSrQ7jnb7
wNb1/oxRGO4kStOvPx3krBENgcd9XuKCDD6KctlXraEh/v7LuLY6EeeBP44cdxMPDY78b9LOa0du
a+vWT0SAOdySrOpiB7VyuiFkyeJizvHp/4/ti6NiE0VoH8M2DBjQKq4w45hjlLNUmGqAMAM43jBM
UATRumhU7nOlMY4YwHY+i0yTDbQpI7wuSRtljdZnXGlBNRhMvNRJ8sjhWsFtu/HCTvBnmMLuYehl
BoaBrKxDpte7pzJUw7uo9YAX3zqf45IyfyD0sv1YV5I9MzuAGgEUkpE4F3o7f9aKWlVxt8tkoqOg
DKonRTCAnju7t1YWE7m5cLcVgHb0PkPkPMScuT1mNfJK1B7elU3RSX6oRObbhbZqfloySdPP5pjG
zrfJkef2u6C7pSGzQGPgbC6jkO7RP0l7D2GBQnhTBsobbkwnns+392LH2lA6AfELzJi3ua1KTZEa
9kuaqYGAYzxYoPh1Eykrg0gRR4e780bWqvVamnJIcl8igT/MTZI0CfTw8xLIkxi+WPHcBcjkjH6v
99W/0zx8v/1lm2LC+vBh46KCSSi6EqZsPLrdjH0BS+kSNE6iyjAS5b9Da7A/RRBNe4qY1Gc1TfOg
ynXtwC+9BH+b+7WywfBc6FYRR22WzrMoaeu6X9hPJAgfqkKPv2Z94bxnoskISjuyGfYQffQMeUz9
Vc37+twOjvmxDkv1y4gGz/PQL9Pp9n7snDTkIytyCtAr5mMTaOUT83Bxqi+kAa0BRVvX3s8K4+pp
VB4NnewvBUuATBqMPdx8v4M0xjhIJifdydoTQ0y1qxtx8VRK8dGU8+5SfBdFI9I14BnXTzkf1Dox
C7ylEDWDfGKYOh9OL/HekdLuoDe3c4G1NX+CjJS+2St8bT0TgiStvQR9SXvic0Rs92liIuqpz+wi
/6kijHPgvHZXXIGnEMeAJd+m90LK40hJiyVQxsp6D40adLzhIPuo4gywoERHcKH1DmwvLt1wpkvI
6NeRmuvdbAepsuq0mwMEGFR/UkFFDxUqHs5Q58+tFf0EPmoeVBL2TlDlTmKIiXhewQcdIaDoiwwM
cGGV76Pelr1WqyGSGbP4/3Op1f38YYG6UgvLaLDnYFHtJIY5dx7f5WmD2pOUyQyI3n5wu5vJ3AaY
bzrIr2ICPQ+Zj5nYTKcdlYcxq7K7Xs+y31CDmpdoqarPMsHJwR3d3U0arToIDeU14CWB+L0a+3KG
4LuU30ydyO66qonv1pTuIAbZM7AvtC5kmwDbt688aZulxKhNAT4rdJWorIEiMX0JF6JKUkH006PJ
4xahpR5UaY5WXp/Nn+cIz0qCwjsfSU/Zq3NLQk5q1s/yVDgXfVL6X4Now8xtzLI4WHpLAfviVsAe
kPnThFuZJa/Xro1q6Lsk5VSHpinx5F0I9CCe48EH/prYzHTEgiY6adHomYB+gxkFCQYbzdC5rxLJ
VlwZXRQBBERHdUNRIVZ0VYR1bbcxapq540L5+blHoCo73b6Qe3eDKhDBD7MIr9EuuUD1a85TGSlc
OzuPCE351YKacr7I9sHd3zNcBBQMweDtyTo3ZlkedDPTx2UJhqaezxFk8xdnmEqQ8/PyKEQ5393+
tL23tjJ3MMTIgq/axcgPaRFyaAwAIOGunvVe65/yETjeW1g9VDvIQwn9GyVtu/e3F9Z2QtaVhgVY
A66eSHkTS5oRfk6G3TcopUmtfOgt9B+NI8dJ0Fm13dytyBn7TMsvjU8or4jlTNPamJFRnoyvcKnI
xbPZNKnqAxeo0BMo9dH2K9h8Is9e0jY904cXMlXvIfmULyuf1FBAfnKWK9FE97GhLp+SepCRrJpR
aSBPdHr9exelTuX1ctr9BKm4lD7EGlCNFLC6foQ93dLdxa6niXnZwSoQqaC5U/z9DaBaa+AS8Sav
B0+npGhNabUOvJey94xKyaSHJBXjd62Sk+zc9n1cn28fxs6tWzEz/A1j9noZrt9mJddElp1EBb6U
Ifdk2nnm2mEZTtBRhorXioGix/+yJmModOPoAGyR4U1EdXjFsvDMLVgaZ8XMfZRsmjOgjOnDIDsH
F27nvtGdwlUS3VJl3eYuVmFoQxiWU4CGiU5G1qEa5Rljbh4143aelE5tmi7JCncAXXi9mbTCtXi2
8ynQkVgUj3ImwwyJOpnMQNY0oj0UiWV5TNo5+XF7R3fM1Epwy8gjH/mafHYZk5YR3GYOVOh/Ek+Y
8eyczJAW72lgNuBgKmPvzqzsHhBG2SYx3boNf/gSPZ+qGQ7AOai7pb8vCIsVX48ldfItpMHUk6mh
nHb7A3fcFy0MiJToMq5Fno1xtEsRdZqol2AcGqd46tJSbuAlSE3QbPkPU5KeYJLTJq+wuyMujtUa
bQK8dRp6Df8VRNu2+fw8W3ClkJ4G2JT6gvHPTjnTP/eNrSdBluo6jCoqxOlNIoGgGermYLf3znYd
JVzBgkDcttaSEnBOcK5gFbrinT2NecAc6z9Ll+UHDmFLVrb6aWJJKJOp/dCr2kYnqWJUYxHVnCth
kvosEoOiatxYUuH3tHotUNlLXj1pVg94vBdK8b1u6wLtp8b+LOeFlsGy4Dj/8Apq8z6G46ELMt2m
jnT7Luw8Z9wV+GTw8isEZXP9EJzoLODhSwAhUebDydeftFY9om574RbfnPs6SgwL0srhRc3o+pZL
qlLij2OKcHj97C4c8r56aGsnukc/FMXFaRgbzUtiJXmw9HJh5CQqlm/UccvF66a0/eHU2VDcyQhZ
GhfLapRfrRyqpifgfOkQUlKtzkPgRyruMqRPa+wEFBWnMJ9F7iWOk1j/mMx2hl5MXV99ID/M5ovd
IqznMxGWjm4T5xaqZ8D3OKQ4rTI36TDWj8M8J/9Muqje6XEU/VYrM+/8EI1c2S1DS+69mmF3xcuH
obnXItmK/FwyZwgVqlG912S0FL/dPq/tDPx6r0BnruDT3amDjAnseM3qSaMRZ/1JVFCN/yJiWn1R
Y8KctzKwfHLeeDDHh7qfFgQCOBjhUUibf1tNIx1h0naeFBV9nhL1OYLSLQDFVirbzGpFD7RSViX4
JJRPZPn6267A/9z++B1bSU5IvwtQPahfYzVsf9hK2WmKsYTKMYglbIvPLFSt3yPJZMF12IXh8p42
g/j7hIYyCjVIeNVZcmssoyVWY2PStcBwQHCi6d0z4TmqfTR9nQkGjrptO14PAP0Lu8Ka6W9DCAEa
XNcXRQtyrTQDDRDfHbM5hO/w6H9JI20853L17va27vgD7tOqSIAACljczbaSOlpDVwidrjaYO1dY
mdp6oEvHt7BqET3XA2WqaEkfnEWPxsvtxXcMELxWULnCGI5JdjaLj/nSlnqUmcFA2eokR3F+h17q
/PdmDhZ5GPLplKLKstUdH2PVXNK5MIO0N9CiVa3MZ+o9OchId57CClgFi0J+Q3ddvb6fSWc4oU5A
FkylnPgAtZNHxAelE+B09XR72171LbED5IAGKFyGzNi9dV//eAuI4M5ZLGlm0AyW5suMrj7qdhef
0I1ewPZYwID1vPuq94PmC8lO/EUbtINd3XmPK+KEk/sPD7z5DWZlyivPkxUYs1l+yRKje2/VSngu
7dH4MrdOdNQY3vtqyO2Z9DRo1+JV11/0x1fbbWZWjQNPMtFu8VEujPwugujOhTmpAppZSl4zO62X
jhNTIVE8emG9WP7trd/9apsonxCRH7N9Luksz5OAMzDQc0c/M/LFKom5zjiFgw/z5SHb784TcWSK
1gwCrCC4V4VrVIvNJOytQAuRnXSnzklPdaMXfmeP9cmqdEi3Ujt+D/Ah8yVbbj1IqiR/BhftDpR8
/XFQ7bvYtOvPt3di74dR93whhQHitSXdV8qRKrcsGbxdW38PPb/iwrcVHZQ8dkwiO/3/VtlYCGMl
HYnl2AzkVIlOuL3vttOpX6ZR/4Hw4nTfjp128JBfuv6beAVHQ8eazi7jAlvG4N6SCNltvGzV5L3k
VtYqp1EWU/UWPaY2crvSMUp3yUqUf4tWtOWTqMK0f1IRfNYeU4gxvnVdOV+QrwiHb3Em6dJbXS30
BEpsLWlRjByUxgWwJjESPY7pe7gRzN9tqg4m+utGNN1BUzt9pocjQSLE2LkRiIo5Xz8GsXIn0EKN
fU3ul9yjSdWNftkkSugvtjDC93Y4gUsqtbWuGCHQGPntaCaR24LkPGrh7j5I6BaIb/9Da29MnjVF
8ZRErUkpDATzOUkI3u6aGmEVlBgganRbQI2Sq6Ane1HMflbR944wToYlwiM87o75XVs7UBSh18UM
tHxtHJy4R5JazGaAlEd8SswIDu4EVSQ8t3xgA9Y7t70f2F5I9Zh6WzuG10ulRopAFoDBYIhi8Ss1
xsm186pFz62Zn3JTmaBAy+Z7WvrGQV1j782tqAaaZRgFmq+blfMaCP68mEG7DMupMCCAAC9/1Cvb
20p6oGSJ64AnraTrVcxsmdc5ByMYlyn7B9xrjmVD1zgV4tNtG7K3EpbNoU+1ovC3/r+bu0zTtBzP
7DBNlaZx+QOUs/YUd8Apbi+1Z0ioFTM7sQarNAKvP0oqwsaqKu5HPlnafWRI9UcT4ZDHmKT7EbFA
4zt8BQex1e7nkV1Rn3mBjW42EjVFLU1iNtKCYc06SQRhuRcbQ3XS5DQ5SA72FyMvkKnpESZvHqPe
wGhpIKgRxAWTwWYNYU0kKcnF6Cv94AG8Xoq0lbk7/DCyHcyYXu/lHMdGqg8YZUfNloe6maGaDY3l
Q7WAf799bK9v/JohayaPGnf76lkbepliVFUjMMZSRuIMJ59nrX2+vcqLOOj1k1ZWM6asdKt82Dby
dgYRwkmfaMEI0ZZzN9G1UN8ZkNyKh3zKC1Q8ZKd/WO/Vr0KS1Etr41YfUkqkH9vGlD86OrhCr8mT
WhlcpIBpm2vzZEl+r0AM54dtpzR+Enb258kyowJJarX4vcSx+mGoUGY4h6WpU6GcwvCnmSU08OHZ
jj6pqL3mj3aDg3eTntqj2yAYr3j2EJo/M2Qptbu4mdOfljHZqWsLyfi3EYP2s0GT4DlBRvufzunr
0iOFHZieGtRKdp3aau+EU/XWx85aKHGly1IP79spS4qHFBGAd0thoNsTDtXyy0apIr+EZQzH5DwC
CfLkuVY/juasgUGqQfl6ILsKBabMtBW+nhWj5kZVkfzMEFCDbnNOutnHlupPaYWarKfldSffq6GU
/5AUOZfd3rLbhVkmrTcP3PhOskzjHRe+EmJpVDg2DyLuZASH01QLiIKXlhPMnOgfGVHjyB3bTNGf
hkobwVGkiQqVHqSa9l2qWuNbXJbyBYEmdK5u37IXZYbNLQM4QxqpcJkZHNnU3oZuGMsCaA4hk/hg
13p7SmjSXzK0TZEut2erO/VNqLsScrFuKemOL3SR+FmjafSYEIWeqSp/PPhR6zZsfxSFctQtVlp9
HPn1Y15WDeEpK9VAz2aEwF0TsfjHuEhCi9vmRF+sBQzLZSpiXXbbAT0DL3fkBfmvMu6y+7zKJ8Sj
kZg+evlb0D3FDpI1AHaMbYLlo0J6/cNof4EznUs9mERZDoEzh8juZvNYO0+zI/c/FmThZxd1ebv0
wr6XO6+mkaW26MtL+WfUhif5IsWLiuibpWQwQqZd94P2/Pxcxcrw6/Y27tgpWNeAHIKqJvrYinIY
1ly3ktpoNMtz+UNaRPLkzZo5HxXTnNenRQEeZDHQX1bbEooPvWV0tmBKXB4L51s2RLIPrqV61ghV
cxeZo2RlhUBz+zS1mRW5dRIWygEw4LUrxbuA+jfW+ABe/s3BSLZamynqb4HBf3zgrtluLefq4Jb5
JEWnWmKaLQMWeZAK7G0xjoCuDuB4ON42y8boTFptt1D8Wgb1DLNxck/ioB480h3fBvsCcADGXBmt
3cYJCPeWkhzaekAXoI7p3bTOz96ponfwc8nJgd/Z+SQSDUJJCtIrtc/GRBHVD1PRZFpQVrkRzMzT
v1u6JDqoe++uss6ugFilN7/Nm+vRLpLUGrWAsDK6D2VncCGsqA+4B83XNxPkBmg9BlFMGLc3xq1Y
OivUxnoMijgMnd/OqJqpz1yBDhlTywN8KuhZH6y5cxN1mMqYQyM4eN0PLxj/ty3UvQKl1trvo7yi
U1qpdq2hjH1oltPHuazTg0N74bPYWEyd4IfiB/MnK+PFtWFqIcIQ8aQNwZCOTfOUqzVYOasR9E6A
MzVv2R5JDaAnRTINah163KYFh3ZktKLykvW8z2Ml6tqP8zxR/Ghqm+h5Ys7t0xgv9LlWoMaTldWF
eopSUSkfRUTI4wLGhyhZSTG4PzRRivRbhav6IXVCKS9wG9stQC41ts4jfCullxNdR+8ze8hNlxlx
rTqIzPb2/mUeipG1lWNk06KzhIO0ad11AVpM84dQggAb4j+5Bs7SqecJ1pzan5R6fH/b0O5cs7U1
B1qf/pwBcvB680VRaymChn2gTKPzNouMxTNK21oVv+13GKvu4DNXq7I9bGqU9CJBXlNGXLfhj6IT
JbCeABogeTwJ491YKO3PorSFNwpjOommW36+ENEuRVsc3LOdZ0tuiQ1Cv2h9vZtrBi8po2QNPdBe
by1Xr9XuzoD18u72fu65WVbgFa3WAXXBTTBfL3Yy1pU5BWPcp+V9B2V3ezETRQ3MaoSyKilK5INr
25YkP+srsTwYLfOoH3olpGc49FrY/WqiqszPGLpBfhsi+wruB2r/T6o8C/3g9+5cO6wlfbV1dun1
QFE2jjBYNglNPLgKaA+b1duZ0WICgU5LezduwiwoEW050pjcW3cV1CQfprYLPcb1PagSLR7sJZwD
qbSqS9Z38Tu9KSdvGFLlGTfZeiJr4s+3D2fnsr/Uxqn8QbQEkvR60WGYTE6nmgLNXiofxZbUr+3B
Pk19+TksBzu4vdzOjUNIheYs/nUlZNs86aZIZR3u4jlo2x62emtwVOHqFdyPt9fZC81XwpYVFs+8
MIbi+rsWo6YdWDljYICFRvcx0uIfEBvLoztT2g5Pk2j0QJFqBJ3aPo0/yJLQ1btBr43HiQbl/OP2
79k5W4uQBngqXoQ5xs3PmWDV1u1MboN4JMALyiy23lXc47uuV8sHeJ5b9aRkovz7QssaKfIstPVs
X/V7ljSVY1oSTBRCfn+CjVe4WRq1l4Gw4HT7E3fiRgsDht+irkPHZXOTZmcmV42rNiiXlZY/gikb
wRzHk5O4O09aFd4podydY97SWdjl8vH28julwpWDnm4StpQaxRbQkSxg22O16gIIipfQVyGGs92i
nXJoh6tcRoPZURKQStz2kxZnKLl0iRJ9kYWpHum37ER4MNKtESzzgqARNnZ1IsuGIp7JnSntZ98E
o2O6urSS9EOa1hz12HeeMBacCQbeFVC0rZsk3wW61bXMdo0liL1O9BfSrN51yiL0214uDtLeva+D
C2DlS+a0X/FvirovK81JuqCbWqf06kaz67sJudhvgy1a9UDqdMc70pQlPcNRcbW2TFk09Ku2Nxvo
l1oU/XpJcbzWUMqgTxTpbE1zdz9B5/Wuzqgh3r5RhoqNuHbMlFvWsJnPXHu0m2ME3pKEZcYAkW0Y
KU91IFT3FWNl/aeMIdMCY3TkzZLZ4wcHkfHGLXV7/gKluTT6YPhCquy2HaIRtyy27TdhJSP2boej
7Hdj1wq3Wmq0xmdnbBTfXqgInVoY+BKvjQDLwGdVTrIb60tseJEWKr9zCOV6F2qc2XKtsLI+KFUr
QdTZ5tObsFeM36mlSOJsTHQNAgg9lY9lFOa6OzRFD9Cj7T84o9UgE86gRuKFHeIRHN7cIa9ijc7g
UVZIAfMq7egbTCUGpirC8XcpzD4MGNrrLA/1Yegsmwb2Deio4nQSrpH3repFtTCP5s1fXTOSXKwl
cI51lIVW5LUFL51iUoxloTMelt1JQVj3NI6qw7U2j/QddpZiJeD1cKRYXOyNVyLHM+Mwa0mtCyNk
hmvss7u07s35lCI3cCSZ8coHQpSNNNFLiGkAj9p8WMS4hgFQVsUmK62rwVD0tHS68bcpNKtAxgmw
nh4uA7Ybj5OAXqyzOmJyQJXjp8aAmjtWc/PRmJG2H2QZ5SpU2g7c3N6n6eAEyaBJVqEMuT6zyhCh
pceyDLJAzh9avU6D0umP2rSvnCmfRrQK/zyT+UT5m+Oyky5V9cVSAiC69rNaNNojRrB9m8ID8JH+
hQz9jCAQPYgp9pYlQgAKvlZg7K3iZhflXbzEvRwoWiW/k+JEPg8ZldXBzGHzYI5BUJ9wkuEIqfja
s/GxMI5aPIYXc7Re3z8SBC4SdSpoIIO0Ni30ZmQosj14QpYvbZJ1o1uPDWpBrUzNoorR3UN+Kc/9
tGit+HRgErcWcf0lOFe4iYG5QYZ8/Uukju6/kjNZBsU6BdzUWgJVhkUbzrjqIDd5/SYZO1/rtqzE
BOV2qcLqujjXYwLwunoTxnb3JoXTx88L6Qjr8PrSrhNUlLyAVUDrY28+Smm7tmwJowIVP137EgSa
a8aXHxW19tZxIBRkBx3wTFvRc5Wufpyj2x4Y0Og8Qq1W+POg/nXrEKwErSCalLQaEOXafE00skMG
43qBiV8c/GVqkgF+4CRRz3ZSM75vdH3yzxyVgNSHtkiPHufr2gU/YCWZoUGEHXh1RyY10fvInJWg
Y5QQ8FzRRzAmpogWu6bSZZVroMAru7opqe8hPiI0UmtN/ykZkfPVMSvtp4x40dcwH5UFTn8Jgai6
Uy1vgjKHsjql7++pNqrDD1Xp2/dOk801OG90OACIZdGz5hTJj1TYxrdKjUXtZxHIPM+CJvh7YyTL
g9bCsOXGE3S6wNAhgj4wEq+CMb6eIQQcFp0kaoibKNhI7JJy8WoBo174szpNULNE4EYyY/aKtOov
f/cigW1AlL0KEhB6057e2IY2hzLSNkuHFoRoPlkoTXm6RClaykUVHCy1jYfIYDDtpBKU32g5qusF
/8MOxUuW27PWTNghlD3dFpKaN5lkTcRAqa5BY9pM3YNeztGwDpCKb2Vrjv19IrWTfOq0AZoRNNeb
8muio/vxps7k3GsY1PoxhbUT/2qMzHmUCYyQDreJJ8z7LhuN2oeKUkl9Q40M8dwKilju2FR9Ca1Q
RlQPtCuMLgUxxLdldhbTrco4I9/IZLvz1IrGgy+1ZtZ6EtD1BI6lLG3RbGpqVMQmefpiSMCwPQtZ
gN7tctuO0Koeq+LtOI4toVQ3zG/0MO8BGsz4lAtaOLH2tkZSGncaDSkCyKmhV4FqpXEE7XXXmpfM
FHN0kuwusT/dPoGtB+IA8AMrGgpCV8rHm8hBLq1M4h1QKbIrm+xV7sWdFoZ99oCAnD1cmrxSvzql
mKKjYa9XPoil0bDB9xFOMA71km//cfYmU066JJkDdYImSj1bVDEUzGMZfZfLFJiiiBkPvDchssoD
pZOUz7zOZnbzbLGWvyzJrj8F77sCglCkBhp6fQ2tPhm7pCsGaggrIooo3U2UxPzp6MngIcWKDDmq
Mgfh1KuCAquC/aBysXLIAxDbPDRA2KlaVjCijG3INpiZ6TwreTYggJ4x8+wlOkAVV8zo7T3lE5VY
t47qzvSlpGrFCYJHuP5u34ath1ypPFZ/ggI4QRD/vt4HUcRJPKbUi1Zqzueol5LAlkfNX+r2iN13
67pYit1eLwBAHOqEm4uXYRiY1hgZDZ375KJ3eXZfmV16d/uD9lZZi1/g7yhGUY66/qB8JZOW1IGp
/6zPfYGO453SZLp3e5Wdq7xCQWm8QBJskNdtPsawMoowKSY6Bgzn5Ukv38OK2Z6suld8Nc3FRyrv
bhnXD45Uo2BZFEeg1NfvmF+wQvzo0K590U0AW44tUGp9loN+ROwhbtv4UltdfI6t0ApSrZm90owW
/+C71z/1z3R2PURKmrxgWtUQym8iA21oRZmNjC2vHJEC1QWrFJ40DbU498XEbFmV1vqjBEjQU9S5
Bdyny/VD2cCt5JKcx/fCiiRkHa1ROiJUeWnovfptK9kQngzo5fYuw2uSMC7YLUGmZOpDmYxm7nL5
63+sxVmovKZDPt2JapkSvzX0tR1oOEsRyEPDqKE8hVHhSRoTLe7MWETstlaLWl/TEV14UqeKyTWl
ymw8rSMv8UIxml80rTUnt6lARTIxUbdvzdbsJ09ORfktzpu28qaqHiI31/P8x8jrf55yAeIxXMMX
t+nqvHDlSB5/D2Ec56iwo5fuGl0UDW42aOKtnkf5N7nv6CjfPsdtQWQ9RjrXVJc4JvoFmwhDN6sw
drqWwX9DCd/IRmE9Qvk2JZ6+pM4vkDn977oPwRNaZWN+vL32jhUEqk5payVwNlf9jusnikCS2vJ+
loABzLg8WbNK2SEy4HbQU7RNXQOWyuc66RFnbTGOhb8GDV+ybsoTX9G75giutr7Vzb2Bjg7sE2A1
7MY2y5WUEjWarpPhOSjL+FxHqLKguGpmJ0WbGbnoqHtQqwDOm/vzykbo9lyig6x3xxAzL0/AjfFa
O7sbQzzpEqKnUD0EFTjJIGzhPpcR+aKmHFUHJnLHckCqSPy1lsQ4is1SehuGBPfLFED94DzXXZqf
5ryuvDGq5PsCy48sVvK/MK5C0EVID48VmdLGXIUD19EUioGugdp7cplnruKf5ELIMNoYh6iMtR30
x5lSbAPZ+Mdyq5v4I9QQRQUeN4rMSzUMyo+w07VfkHQO+bkvm9H08kZPL0klyo/ZmOnVPbn6oJ+c
cKmPBCE35/ryQ+CFgcZ0nel6NXpS6uoMBn0wL9KYdF8doTCJqNbRc2oU4nT7YW1c38tSmD+cH6hI
up2bLYbzUZgF8JwLeGcGlVp58SOB2vHtVTbJycsqSPwQOnKUFobkemcRUB9jm8LBRYjZCkRrq76G
TCsCB2XxttYHcQAL2NzWdb11jojQCXdLG2JzWwEEVV0FnP5iDUv/EA7COTVLLr1hByZvMowC5er2
f6B0RfQO3DxDnXTQX9z/H9dHBegZ2RKLal0WumlRqf44SsZF7Y34ICjc2U/Kkys/F307ku7tTRXL
0KW14NTiyvGw1rE/wC53J+w2JQUqO//2+e1cyKv1NvuZgchOhiSxLpEZxx4AQvWNVbYT3OB18nd5
5cvRcWqMGK4jdUzuXV+VarKyHqVt85JXSe5GiF0/j8CAPpVmePBRe5uIRyO6JB5awTfXKzk44nXK
LQrGMh7cMGbmoGnt7mEZ7cRLgIEcmNCNy3j5snVk26GBwaLbGc0hziVtgeMp0BrLygL4DYpPSaEo
pZeW2vjdNicnO9FatCMXgT/1oUuHJLh9jjuvfR2L50LQHMK2rO/mjyvaiUmGedeOgr5qlZNRQfsO
Fqo+eO2bQOHlQ2mDMURCOQZQ8ua2GGoWZ3WtRdALd9WjVonhybQX68lqTPMxCpkx8NmhLnKtzone
3/7CLY/Ef4ujzrYOcYOh2CZpAD+jXJoKEQirdGqSdRTX0YFikOOxb0fExZW6hDxzqhhBcw1C0/De
yAY0zgYpr0of2ib9rplMfTmbQ9as6IDE6u9GybapBdhVE3kLiDvVs0a91r/e/vF7G0flauWkWf/Z
9o77tNG0ynCQRKTdKFxLlaxz2AvxlsCnu3cYC3LttJWJfnL7dHvpvRe+ZkBAnh0mkLY3g5A8zOxu
ki4gV0ff6Rf1LsyNyacXNB5cwr13AMiBJwc9zapqfX0JLR4dg8BLHBS9SJ27elaHxUubKuu+m6Gm
frcHTfk2ARFN3Fjo9mPKjK1z0Nzb+1wa0+rK5A7gZgu10TKna0DaiMBWpvjk2E14mqHhaWdxlP3s
uCLYd+hIMAewMlOuu/HHk0vSJJL1OUZSE2AycKU4Whwv7qVm8UROT9UdTKcbT3E99snBO9wxcFQE
4Xyj/45O09bgqCMwCJIv6aKhXNM/gWNNmCgbyAL9kv/3vgX7Ux94pp2N1TGqmFPK9WtX+PpzJ8ox
lZOk0gV19E9Z3RWf5Cz/lHf2cHCCe/vKbhIAkolYry5sZhm0ZNUyvGRZQztQliCpWjJtuK9HayCF
RFSwOE1WmR+x8e99IaWPFVEBnuIVkmSWla6nQIjsXNYJ2wf8XcgugJ5Ec62pWQ563jsmQafyQSca
t4FZ2Oyn1UsZrgShuWaq1OjO6SwhXHse7O5SJjRL70rM/b+MtkYfCilq54MrtLs8WjakvGQZ1P+u
jzOVBsFztcMLoZb0SWFUuPQjqwXF3xJmTI+9rRvlRbeTsgnqBXKyz7fN0o6t+G+uhVkZsLHbz2cu
u1TmJhFBkg/W8Ksfkk7cl9w/GgzqOIKNs62k8FIr7YXbR0ZTuYrTVkc0r3tnzu7TzGQAa615X28D
Erj1DN8lj3hqo4fM7hPXziBD7awoP3hAW4KF1YHRW8T+EzBzs7fcZGVhZ+kiWdKlqU0penIq5u/P
jAOIwh1gSgtKCxRE7PYS+fBZmHLefnFy5nE8WY0y68xQc5PcWVMR3RuTJPUPoyTNb6YeZaeDq7m7
KWu+RD/OeJ2lGPlYMbkeSeioj71BfptG3yUIA3QPnujyCB2+Z8y4hHQbMaa0XjdeI09DNQ1TpIlF
wbi6ZNSl4eq2oE0faVX0I+b9HHE47kRLeMSVmpbck+7ZJloiPesmNZLjQJ+V/NxW8NIuo3nUBXwp
um3STgIVYL4OUq8r/v36cqX2Ek+lbRCxNJ3If9VRqsQPQE3m2G3UJZ3cWFMj537uACbc9bK1SEHZ
jwZUh8i2JkGkalnypdYZp3DnRmvGh7AY+jdijM3Oo/tRGd68JIwmFjFzivdqYlXN+xiefvNfiSis
c8e8mohqKlpzBzdkW7VZ7/LLo4HGzKEht32+o65MKUSScSA5meYEirlQqpFoNahuPc9O9NQnctV4
auhEstcvLTucG3qrnjVNyt5UTpr/vTQ5uS5pIWvg/ED5X2+2qUgtpWozDhSQLEFcmxXgRoR8b5ut
nadBXEO3hCkd6BW2+W5dq/bQmHYc5JaR3MuEw2/TbqnuLMAx324vtXdJCdyoX6JYwl+bd7HkSRM3
C1usRkzXTolaecCltYOS/463Xf9snvk6hUr+fL1tmVynMnolcdD1cBdK1jqDOzbICJaV2fqVrnZP
MJseFZ32v41NXEfx1FcaMNkywBDb8QDVSIlyF8IpKfHL2s4O9nDHyxlAvFYmSA4N3aTrrwtHu6Xu
nSVBGglSIr4ReZKYIYoKLYQCOJUT2nH1Br2f4ZOe18nfS6GT7/CBBjwy9Hi2hiaql+r/ODuvJblx
pG1fESPozSnLNtVqtbw0JwyNRqI3oCeu/n/Y38GvZjGKod2dnYOdCaEAAolE5msmE2QXgabhWebp
JuJ7oA/KRg2vZdfF1/t7ZiOWLtCihegIzIGix+v5jnEb1fCm4ofC6tKzxBD8asragIQdz1/VKd0T
E90YDzolPEd0UiGErCNcx3vfA3MWPRRZW59Q7bN8RHzLSwhq5KpSNd2JOxvHz14uUJQkFoPQtUaR
Y4xRjmlR9DAPDU6Q9P7PM6H8POthvNMT3B6KGxD0EXXKm+MHS3yMRRY9tHbiYZFr62+EWmsP9Zg0
D/e/2uZQtMHZqpRDb14StCA0uGy8DodRLQ8yxZIkFJEbKEU/7sxq47jbyMviEgcJin7v6uaTlVaM
Q5/FD3K25vLN0IZGAw+2sIxjLWRXAHNK0/CbVXQy/np/li96uavrEF00ulPLW5Tcd7U5NSsTukXb
EjgvqnwXNLqj3p9cr/qvjTuIqfCwqnMvRWgcscub80OH6619duwkzg922vczHZna/Dq0UKGOou+d
x97m/zjZVpo8RcBk4p0kdevDIL0Fm5dDtSAHXx+nbLJthK4H7zoKKwIyGXlXqkB5wMtH2blY1j3E
5UaltonANjg+mojrra2YGCFi5wYLjZbbU9IIk0S4GlFwi+DFiDg+jUU7nQS9oaNoYvUguqQ/3v9E
G+FyyVGBwMHeoLyz2h0tDOEmVZvFca0eflfVNATtNJnH0JXmYTaT8YNrFb9C5BN39sbGfUBCQX0C
7CJPvjXSW8ZWlSQTVm8ZJi/XEBLiswNVZm+NV3CT/1tj5C6ptdF4uKlfTXPdG5NqeLivYtHhA3Y1
w+OcdH181guj+e7pc/q1K5Thq9UN/AtmGpe8NaFyVmdFLhBaGoJefL6/6htBlKIdfgzgm5Y3wupc
0J9sYzz7cMlG1vJt4kTyt+1FEj3fGUQvDNJv98fb+MrgX1loFgD43xr/HI9ORCsIl6uxoe/i2b8d
LXkXN/ZbEdlfG834UZUYVd4fc9k5q7OPxhDxhs4Hvdh1mtGOoIebbMJ6PDKq7y06ZwfgNHDFJocy
raz/UzPb3Il1G6eXo8vDgoPLZNcFZ9so4o7U17sWXvqdSlNHA7HEZa6Rzc65Wb7QenbYaSx/cXx5
VLyOE3Zj2RXqAljaJUgMLP3hDjCTndaTD3jUdP3K7nA5qGJN/Bs1kv6hVzTK8/0l3poutbcF4AgG
4CZYVU2uDImgoKDVil74TqbaT61joeI52B2E+v9hNO4RSF7UnG8SYaud5GCaFEtgYOUHzaqiLyCC
00NiDOJ/mdgfQy3B449C25AoQzQVwwJrSMuL6JXvRp2O51nLxv/hJFLQoQ+uQbMAb/d6pGLkgYFu
UXjtIQU/1HqsPsqG4ODOVXdwp3aPF7b5yci52ZtbpMzaMCim5SK8Iq3RJlCRZ7U/6W1X/DI0CTD9
/ifbOoO8jXix0Ri57Z0lpSrUtrO9a2pbiyLQlBTpE7gwKzvq81xTYEl1UBzw9ZI9M7qtiZKGY8lE
kF/aka8X1jMme4xnhePvpsNJZUGeygqsnVGZ4nR/lltDUcGjrbygJW+NZ6bEnt0YEIyoInlGj4hj
b0bqVeshbf39UMDGubdNpLUINK9nhd6iWk9oOVwzpNefC1WLOHuzcxhkLaKdj7cVYkicaAsu7dab
THt0vDKTKo1BxLOcZ6FEIKdCU31vGjk2I1o3tm95ZrUPytCO30daM3vv661bA3o58CZn0U1c95Mj
M1MkZA0ehnEYYg4jwrI/S8omv9Q8Cn8L5DraYzTmxleyhXxPtmnrq4JOXBg7zP2mXOnRw6Pt4DlX
p5iLd11hT+fabW1/gUbv5CKbQ7lAhkhGgMGtm1xQs+PEouF7rfohPDepIY9iSLJAbfX/wZ3doXUO
HN3i7zelL0OfeVspDNV6rnysbWM4dNjbHmKRTiCUmr0Nu7GJWLzFRhOY2G1zJLLSsk9gDl0X3+8W
11dLfhb4FzdUoqro+2xl3F5NqVs/eURUway3ya/7R2Yj0QOUwJVMlF0YCKsjM0cdajAVlqF6bTmH
pu3y41A4e9iHjU8IhJk+JQgLcGnrdpvhwqXVY4zae6j25/H/xOP16ZI2mb1zLl9S09XdT9oOHQbQ
kI55weqNEBcugrC9510H1MOHqzUmmVH6Hb2Nf0Wcj95Xrc5DFxZynze/IqWzHuVkJk9aHRr1F2nW
tIjMoXbGp9EYlek8dmLOvyjjgH9d1s2OdlCGKireFlpcfKxq+i5+2jTyyR7aXjnMCKTLx6HW1I80
gLvmpKCm0V/kHM7/eWk9YKoUtrpx1sdZIOsztuVhnLs4gS6qRdZSdtbmYwODKQ7mMfQbL/e+ac44
T++tckKWUDcSU7uWSZt/1GQb2X6r4St61GHp/W5NBMP8rG7r7pAWpa5eZ3w0fyiV0MNjE/VsJVe0
8Qc7c+fJr+3MLB/ybhADfQazTnD79Zr6oPZph/WoSpvspBW1JX2AyOZT6s1p9rUCqaOe7u/AjWwb
XRYe25wCNuD6eM/NgHzNcuaoaimHcUzrB8VINb8oLTRu9NL++0SJ8Ragk6EtyPrV/khIQUNrNPGF
H1XnfeVpRdDVWK4idL5ztrZ2PTEQ2BqKq5Abl3/+R57UDUoicFKKHmLLzKqz05dRBIkoQmNBT1I0
J+8v5EY6wc1Hfk1BZoPnPQvADrydlWsPMOjM9Rh9ggnW+kjW28fUNM0jleNxZ9DNOfKnLpql1HvX
J1vYjWjB4NKFHKAg8/HCJx363rs+D7vT/fltBUvYYMjVAIykUbf6cK0zmfPYNvQlAKwMdIT0iKKF
1SS23yh4Vx6NHKGfQ5KrZqCjcTMd0tgxxPX+r9iaMLijpeUKUPzm3g9xtJntiWphHY/RZ3yyS1CZ
KG4XCpK394d6ycLWoWyBV1F+WJrK6yu+SBqkKNKOBhWJ4Pyx98rqH/qhTu3XeWLG5zyX43zu9bDM
38hESR+jjgYaKl+Z/S2D5PFU5LXXPRi5hWa4g/cX3VsLRNMVj1gzfZ9EtlcekslC/ViJ++azyMsM
+48W0StwrplSHEp6Iz/AbqRfSFVL5azzbA4Kz8FZFkGY8g02k8keEn1jhcGzICMMqxHphfXjbaIm
p2i2rlw9tfiM9JZ3gcVj+Lk6GTvfcuPyA1KKTA3VxMWEffW86IZU90IHKEafdfkprAtib1XvOdBt
VZIoNdNqpDFDNFj3KKq6Nr2mMPmMiTk9CnQ1kbSpQn/wNJY4LU3z33qw09NkZ9/GIUYvqNd+3d9K
G0GWn0AVCbLNwt1aXfNaTyGz9BSOaWUkV8XM8hH4ey1PAIW0M8TGaAc0sPkRKSEtl71JBW3553/E
vlba2Zi3s3KFNjTgoDPkB3RmkkuvcPfen9vmVyQHJuy91MlWcUHIyUit3lCuFlqp1wRqznX0GmsH
6Lg1Cg/rBdC1cCTWRaEEAz08JkPl2kbmfMA5KDvpHe7d9+eyuVcWkBw6DpTUSWBer1vlKok7zRTw
VaQmHzwRwXyaDPPdYFP5trxJ/qZnraI1AJERaWhLxkcQYPb7+z9j4yqBfYNOCX9RT1iX/yZvLLpc
SSjrQwC/zrPNGwq9lBOpqaR6M/UX2obpznfcGnTBKgE/AACNLtLrqQs6UwXq4HS54whGvaqEgYGd
9ds8zsR1iErxQYcnuFNh2LhUFomhhfCG/cmNeW/TisSepgogWJzUX7Q4Nk5RJwApSiM5TkpTvJlS
1zzEEzenVnbZTojfOpe8wpH25IFzW7VRk1mvI0twLmlyvi27ujxqXv0rdKk08uyfdpb4dhNT1wDc
AbUP9P5N+yvVOq3W9Ta8xtLRPznGjDGjV847Z//mZcqrFKVmGjVUFvhr+RV/nP1ZF53o6Gpcvbp1
3zdDU7/rPb099nkPJ7CARijHGlAi+KW/fmgwNCLEvEqpLy54pddDF70Xpigh9ddpiHvVl3Ys/mlD
Cb8E25lQ/+vTSiigpAFc36BdS1vi9XDR7Jpy1tPxChqDTYNsBmoNEBRk9G5wJmEf0adx3IMsa0QG
BQ8P3c/1sSSntiycQe8f2o1l54EM12g5PSRKq/OTph1i6mk5MPfSQ78C4H5xiliNr6no3W+uKnrz
HLWGg0BObPGY+OvhF9V6LhjSI27TVRjuZWwMIx3+K2mLcag6Ckt+J+3WL7NkeGxLUJ11njuB3hdf
/35kODzLy5K7/KZZ4fVuRZGlGbkAwuaQuXX+Ri1NMflmUY4XTUbum6YR/RFodfhwf+i1GudCk2cP
2CTctIhIV1Y7IHQhKELaHa+pdIYgazoTgc0y1I/6EMvLpLXKY532xndv7jG5FUl7TlUj9IWNYCk9
zMZvUVT42YeltxPYbqIpP2y5DhcqJ+AtY4k8fxzCyijR8k714dqPiv3FLW3PL2vpXOAg4A7uxcZn
FOLGz/eX4yacUXxDGIKCAiNSgVvtgRpwDbRIvb/Wea2qJ2PK82vrxMm70auU5mwkhhnvnMGbkLbU
+/AKXDo2KrfVetePGQcwqoerV/LutfQEZg5l8NP9iW2OAnYIiTouixuoWIcGeRmGLfzbprf+ra2s
xuBUNf6HUXijcQuBF1h6JK+/mTBx4USnl1FG17q02M2daUDudQq25kLD3oFMpWGVuYa9tTNs5nkY
B0ieynyomzk+jg4ui/dX7BaRxIcBlgMGiLuAXH6VydSCSoUdFgwzOu4FDayoOZahrT2nkbAQVgQc
76GhW1pPMqmqZ1H0lXsUtKziw1zn7t7Vd7M1YW+AIzFxugPjQgb3em0rp4trRxPyGit9pvtGSdXF
7xDqjH3bq7Cdmci7/ru/BjcrvYxJeW2RSQHzclOPrqt4aAGAXRXS0+fe7Nqnog7HnV2zOTOXSj7o
HUiD62TNrRLLGhARIoWJ5KEyvf6a4kz3gfatfsHK0Ut2jtzNRUM/nKNGX40kbTGNe72U0dSBj9es
+SpzMz15wNkeHfy2Pk54CPmTFjkXzJrENeqS6G87iMvI9BL4L3cMteTXI9sJzSBQIEjyKqI+m4WB
ft5ML8H2ELDcmeXyZ716fC9jcZ/x9aDi3cCeXaNxna5W5BVos3lqQm9+7Bo7/jg2+KLujHWb9jOY
ZhEzF+IuGcwqWk90CJ3O1uV1zBXxFfGL+A35qJuci7EZPGi6baL5XWt1P8fIM5/cwZvepSkVwZ0c
4nbHLg3apWsK+nbxg3+9wG7U1UOUkuTrQi+fIWt0Z5Bg3d4Tf2uYhWyI3yR/h7nyepih6CpE+9iy
bLAw9TE5a90DolXT3tt7b6DV7ZBpeqGI3JBXrVDMN2kziFOR5X+NuqK59cd01mTvRRPTsLFUuCK/
2vpxOcj3tZn+DHU5HIWmTzuZ1s3VvgxnUAOD84MAy9qKqJE5VUVHlVd7tuWpKiw0B01zuoypFH45
oOs8FhSF/zaWvR50tZJlOSPVZQ7y6lqTdpHtXASRGPWd/Xd76FA1p+DF/xb2vroKLZnO69qWnINQ
n+bnWJ/FCdZ1dY2gOuwMdbs1SNhfJGxwdFj0Nl7vQUVJ4641B+NaKhmq8zEIHrNv96hvtxNaRlmO
NBXnWzeupWIJ5lAY1y6NxUGf8/EwGlP9Mempvt//Qrf3AIAVNgYMAqCjN0/Z1NTzMEtU4zpLqfpu
mKmnWbbuCaWo5DiCxv16f7zbbYj+EPB5beFMAIzVXy9gx+7O7T42KQjkwwXFcvFPVaXyWET1Yp6C
UL7wgbKqO4WYrRVd+gQoXfP1qC+9HraCIuzERWReAXLGR5B6wyHXaJZXirEntLS1otRiFjgFywoE
6/VQJS85oZapeRV5Jh7irs8+R8KWjzLV51/eTMl25x5YDtHrOwesGUkTtwE3D8IRrwfEZkZL6hj2
56gnzY88yRwRyNSCkGDAftdJb1vFuuRNgSgNlf6H0tSrn/e/6sbyLv1csiTSCTLd1U0U6tga1Enp
XGW4qEh7DlorWaidXDfdUw3eOIFUt0H8M+WNxi5qO3SposK+ysqIL5Di7KNkbU73J7TxEaHGcCgW
q61bEhwUUKsYCKNkK8KhNWcV57G2+iPE0foy5pOylx6tpkUnlovNdWxyTJA/FEBef0QHFEBJhyl/
oLLiPlphQZ5pxnvvu41RoEBzs4AgAWC83ip50xve3OY5fJ2sfMKuqDnKyt0jea7O+DIXBDJJXWm4
bFiaOMj7ZTXQzwdTK3sftxDt1Mv8X2fQZO2bs0EmFIGE+Ltj8DIqgBgedbTO6OOuqjh912mwLJr8
YbSS8lNKEysYQiNN/bFMK8+vMrHQiPsE1LhmRcZz5tJP+19+wyKpu0j4k2murwfDnCcu1fxhmFX3
g2WQcE2h4yD5E6YHO5HNW0XxhI+zYvEtN5v68/1du7XwvHVo5/GY5r25Gr7Oaf0iJFs90GbWDs08
Gt9DxxY++RmiV4pevoUcRtT761FR5QHPAgCKqsWasyHHBr3XWVQPErLZ+6hT9Yuwp/YLgl3u27TO
fiVgML7dH3NjI7O/6Ng7NLluqzdaVeadbIbywauE8U5UKO/Hippf74+yiqzLlgJ+wAWsU6sBcb+q
0wyUJSbkI8oHDU/Ef1yRptlpFGNWX8lsGkxXsYut/CHFe9HPsGZrTnUbNslOXX0VXF9+Bb8AKC8K
Peyt1cYeO9frNSuvHpZiwrfQHH7O5Wz5StLrn+7Pd2tVX0CHZIgE8vUtGWu1xMi9qB5EGHZnD4n7
szSmPTmnzfkQ416uCkrLq/sqbhM0thtUetqUpyctSARyDTxfulb5S7jTy9JhjrE4amD1qa8PRGtZ
VVrGonhwUKP7Mho5jNBe4ey+tZVpyYD1arAfojRO6yOFSKvYORrresZirsGXA2jFc5CUZy1xD+Oi
KuiMZgGiqtVDNFR0R8uheNRkaX+ttar+VsJXRadMKa45rdZjnwm4OlMV7Wzl7V8CVJjYyA+5sSKN
vSmv00bLAiXPrOZAnEoekZvFVKezcy9ow6h7arTGPM+VNb/DJUJ9Gzdz4vqW7IydHb26XV9WhRhp
g2Ja+EprFy8vjm1ZVmMaNFn8Mx882oo6wnmloPaA9eAexmG9rZePANrgRX8cDZW1q9xiYVENlp0G
g5bKD5YjsncxCsg7D6z1tmYUslrI3JR1eQevRymSEMeN2YgC107GU2u4P2cYEWdPzPUOf2Z56P6R
8C3LBy4KvrpKorBwhF7nCuoQuhOG5lGQ0Hj+YcYVngQFHqVPCF55td+SIQ2+IeLx1LuTrVzuB4mt
0Zc2I3gpysTu2gcowp+qzYEuBorizr6ijUmQirY6a/C8ryiF2ZfGLuhzIiq2c5q2VhiyJ0GfMied
9+WX/VGd7qNImxF3jINYzeZT6mAxGjthdqmabk8sZh35lyXGOJTiLS0CylaryJ8gc6Im7RgFmWy7
QFW7BuO1ojgUbTR9IvMv/bIy54sTj4b0gcntvdY3TghJPWU5aMaUAdeWvmGbjjRk+MTzkJ2i2pZn
2cHeqLoWA06xV7Va5w0vm+mFTbDUVYy1TY/jyCqKtSZ8KFMvug6KNTy6TjwfGrWZj9kEKCce1Wjv
slneXKttzKfEHRnFUDLFl/LWH5+zJWRXUb4QMKESTScZOVPt2xJvxJMUlYBPneTxGOBkiCDIXI72
B5x+Y+cQWnaIdbtTa181LRIny3XH3ypdJIFKX47sTSMK5TGrQ/xvcGoV8HSRxHYug5yi94k2deYp
07v6TYi7CH7quB6l565pq2+4amjzBQ3XLPdpXHc/0jxGBM/SmubLZMjE5KO7E+qtuZe4NF/tOTkW
WlQ9l33V0ilqOy//Wcapd07yMZZI7vdmdJ2AMGtfdb2bP8Hng57518eR6qazAGqhJ4JIeX0oMvSI
kfpJYmRSQnEpkLw7Qw0bjrlSp7/SutSOc4gsFWp06s6VsrFrXmqdkO5J+G9c0uJQExijz3GgI7oV
NFrtnNAy7t97sZsfpiFqDnlLOeH+dDcOJiVGnmVIPCyIrtVLE3FYQ/YeKgNFH9UnT+b4LiVd+VVA
sz4jKldjW1sOB2yfihOtkP77/eE3rhJa0y9IX84nbdzXq105A8C4PkoCQ9bmQ5s4yVnN5Z651NYo
UBfgZi+UNeLQ61EwtptdbDOSAIotfnwOghLHKi+nnZb79jDk7UDB6USufTvTVnI9xEMSWKMsC7+Y
o+JHGVd7dduNWAZfgYBNQKOXss6io8mMZnZ+EtSxZ72tXVwuk9bQodZ4Fkonci/p25wWL2nUzGiJ
sUler54xjl3olWoSlJ1SBylQ7I8TdnU75257lAVLj64z+3H1jeyEckDEVR+4DZYHx2hWsWPI8kTf
GWfj0kN3gNcH992ihqO/ng3qkYCGdTcOjNEE/jCgbDgcKqet3oA0Lva0Y7dmxUh0nWgn8HZfjRZX
UGcK8L5BXsLtbzCXDuIm7naqcRspBIqIiCkQuBBYX99udtf3tfDKJDAjQ3niODnHNOmnR4l8Ehqd
k3MkopQHTZv2uJFbqwmgfOkhwMCgbfp6NTFurAs18+JAk010nXHmPKRS6d87qfx2P1Jsj+Qt9fZl
769LYmPsGlNDETWI7Hr4Xlkgd9Hdbz9NdbJHy9s6YItbOHASkII33sypNxhuAtUXudqqOpaNF3R6
Dtm2lF+6uPt6f16bgy0GkNSL2fbrXMGrENEzMqDmYx91bz0rif2iV91zPWf6aWItHu6Pt7Ejl2kB
UkGSDR73akcmkgr1aFRxgAn9fCaRmPHHaOzj/VE2vhajkM+SuzkYpK72BX6i4zRrUxz0eiLfTS1M
aruYu0WTTOwMtbH5bchiZJacsNtky1bjLnPcPg7MIvfMAGetPD3asm+u4Pg8y69wTb80bNIvnpD2
TsjfmidKDfTWUYbmXbq6v0qj0mIcEeNgGvMmO4ZjoX0MUxDYR5W+yfn+om69OVGxAzGwqCACGlhF
YgVKUWkLuwxyqp8nbTbCY6ZOuZ86nXIeHB0yoOZ94qGI8axVegfMeuKj22c7R3Fjy1KLX2xvuX4A
Cq5+xpAnIsTtoAhy8AQPZR13B7ztw7NVeCRpQ7qXo2x8YeSw6XPj84RwzHraOj6epkicMqBpozZH
x03ib+oE1PvoaOFM5pLY79osTrABcPT/7q/5xnFBrAIdEGexxuFHvA5wwh25zEOzCNrC7Vo+cGg9
Ryo9af/+OBvJHzhd8j56OIBb1maleiHxCaotPu2IGHI6DlmAy69zKvFR8EXcqKBd2+J6f9DNyYEQ
Ak+L+eXNwzdK0WpOGq0MTJwC3xRmUzw0Yyp2ntdbU+NNYvPlaN/c3BE0zM06U+YyKOvW+tkOUr+G
mpN99+rKoNoX1W567HGdvvz95KjNUDzgbb1c+K+/HJKQdeeFcRlgvtGfssZBlkfo404DcyMAUKtE
M2mBWLr6jZZKj3OpE+ZVoBp1pfphExnfm7SthkNSRbst+42TgPQzJ4+WPC2x9UUvOjK0QQk5CaEN
wsR1IDgi6DR8az0thl1gyNk89KmCV7mfzFNl7azpC35w9cbkB4BaoivMg2Ht5GyGMGfS2s0DRU5h
cZS9mWEx0oTNjzb2EKMuhVXL60DYQM8xi4r/jKYqvsi4nf4VnY7QqBN3keYj1DXvwTc2vgQ3NkcI
CAc8n/XFpre6m0Fg5qdFiEWpEfpYjpGbV14+6s4ybARAUhC4IC9RCbjI660FzyWzqYHl5HKiPlqy
Gh673uv9qJX1iVRwLwhtLjuRliBEgX4xIlkNaOU4f3VDHgCt7Z5aqMrP5P7CPecOns3nZFIVeWiV
KVOPbY3UVWDkdvPRrgU8XzT1UqT+i8y42l3s7el5bS07r52lHAjalybN6qfBwKm0iR2BPl/xU0nm
6JArkU2ktMydNHdrKJpgXAA41JFZrC5bRXfziXwDTwQj+Y0dsffoNv1wNig+fL4fOzZHQo6XjjOy
qpyg15OaxtQOE93Kg2zOquOsJkjd21rmFzpE5vtDrVFHS/URtiuKa4j3kJStU6VUGaw5TgQEuDxM
/xnLRr7vxlyG/ph5GSbknnmB34X1r5kW1c/arazT2FG+2bmAbqdM64A0BqN2rjq6I6+nnGql4qWV
UQTC0EbzUCb0GY9aihuMb8x6I0/3p701HMimxYNgEaGyV/dqlfWDq8YYfztL2Kywcfwy2/YPWcZ/
yS9ifT3mtXBrFy+Tm+L4wK1ehnOWBnpEbdFSQ/kg0LLcmc/tJccoCPnQrKfJfRMYKZOPxuBCiJ5z
u/3MPlGvJHHZT0NBMM3H/LI/DWpJcn9/GW8jEY2lRZ4TMgz/WcfjjDs7hRadBI2084+hl+gBphft
kz2bIroMRqLp5/sjLuf59Q3AiDxmF7t4WqPrjBezg5cOTRKMSWSh+N0VRwVM506E3VpOdsViTf+i
HbLaHkZFsGsRqg5akUfXBglj9Pd79ynpXePMU6D7iAjknonrxlEEnYBg9MvDj7+tzgBW4OgQImUT
QAzV/Szk6Emvjw8UCuePTdOmv3GNrh+0vsnPo6JGfj22COL8/QIT5cCxL92cG3U2eL4ja0Izh0p6
cQljL3xD8rJXBrmt+6EUhhoalSpUPm/CNjL/s+bFfRrU6GX2lzlBp0Xh8v4U6antnfVuUNVDo8f5
B9DFSX/QU695/vuJLmgs6hXsJOLO64jj5WXUFXqcBkU4oBJuKNpxVNs9F6OtE8LRRPyQ+hWAntWl
0bPI6NfqVFVduqNzMfXPWaPjtBlF/6a5nHbiwFZcI5i/tOQW6ObqOiynmZe3NcaBqhHclMYw/ARA
4kOHXfPORtk6I4gTLjYlVHCRB3m9fuBCDbafEwdZnNfH3rPyN4YV8gRLHOh3Pqom0VWWc//l/mfT
lrO3jgBkPmCdl2zk5s3bz0o9qhUP7sgSU3hA10I/TFOoPkZO0fy2irZBiBMNUTzOs9nzeSua4Ung
zbrgChTaO2Xk/rz/m7aC0vJxTUAaZMXrF2nRs72aeYiDdkyMfyF3l8+4LOxZ7m18W65pgBmgwkBL
rN+CiqvINsamJ3CtLgycsZneevowv7UbNT7en9BLQ2y1yOxZchxQJ4soxepw8BYGGuUR2NMsyeHT
RIV4FMVYzL40RCsOJNeL+JpTZ/o55Qr9pBZVEf3bRFUMWFNvvw523b9Tu65ojp0tBuPiYta1lOig
A/kyrkwN/jKZpl9O3Vif3c6zTmUq6vai9GoN8MI1c8oJIvnWGd44H4x2oA+gTVIdfE9LKvhjCWoS
QM2VdtiJ/hufE+Qkc0RbG1TKOjKk1Uiuh8t0MFXeJ63P7bdg3JudZ+nW16QnibwxlW0azKuTGhm5
3mUddkuDO3RHmH/0BHQp3ljoDZ7vf82NGAQrCdLv8ilvX00439WzcKM0MEdVO2qdHN+NuCW9daTU
f5TqNOxEhs3xll4n+xSsxHpqg1PqisQgFmyCmn5OEvtbCZvjOlC9fDe6vbuTwm59roV9p+LsTfNj
3cRRam+oqFvmgdOokP6ENp2iVHY7o2x9L+azqAC+cP6XsPRHe1NEUmur3MkCDAnTN1pv18dK0bWD
O1T1zqP+9plNpWcp/6K2SLVs3ZIH8TXWdQjAIW6s+WfWYBXT07+/TpAnD9ifp4+OEcbPXdqMO+d+
Y5ILGwgtSmIr5fzVJKGG0lxEhi/wKANZ59SrsycEqZrveap0//z1rlyU1rk9IL5Cvl/dH3YD8zSf
eFRisZ2c40ki59Wb9IzLrAVD1IBr3XnAbWwUMGa8qui7gItaB9DMMGQ5JXURyFipDvZQGpeqkMXp
/ry21hARYsoTS+WZK+H1RrEVoLqdTIqgaU0q3HCKgyQr7AN6JHucg62hyKHwtCa/oFa+itJWrPee
oqag8LVS/hhUVE0ONOTsb0nSl//dn9bGdQ/gCtANHBWXC3811kBwNlNL5aGtj/lbbRrn5hAWrf4R
+5ik9CfoPg81Puo7sXh7WIpoML/xPlzHkn7x2a3nPg8adwJ92hNWan+Ic+sEHVuxDg0aQMGsjt6e
ed/W2tKFgcWKChRZ6mq+M6dk0MckD8apt49JqkWfSsPAKG5S9Q/3l3ZrqKXoSl0d4urN403JLH3C
Vo2roCut45DE+JA6tZmfitEA7nB/sK3gwn0D3wHsDaZqqyM+dpoxF7aeBOpo2V/bfNJ0PzVaB6vL
xnpIZW1ctbp33qZg3ve40lsTpcQMY2DRMwWX9/pomHYuZhOJuwBrF92vhClPqkjEOUncaOesb9xB
aFz8/6FWpzDHcjGqJ42usVuk5zJFb2fk9vgNpd/zTRGHf99q9WD4LIRzin8uROTXczOUVgCZz5Og
18bfKE6Gj3mb7IG1aMzxx6wSs+WiY7tQGqIWt/p8ndsjF+AAmgprFIU+FTxvZOU75qA8J32vq+dc
Jq3jh+j3d4dMDa3+EDvC5rmM0r1vGWVZHBytV+aLLVzk2OfIUt+3qPd+xUsxArU5R2njg8ifLMyK
8tZ+xgK8+Z2ZQ4YLg9t4nyJ80cqrZ2dtdjFcoUWnNi6r1lcgHAW5pind0cM/QD3E5TT+ttXSDX0U
99Vvml16+jECJfl+GMbwQzbYskVAVy/ro61PWuV7aTQ8KjDaurPwUuObW+JbeTSzPhKHEgZXccwX
OuKxtcTQ+5UqFCVQYPY/TbpR26hA94jwj8rsFQcPLf+fVsvD8kNIpY2YEdqZdtHrptWoKEnqtIPR
lYc5qTJEjUP8jf3Z6mjJS2CLk81TrWyfUiJP4YvczWuyi2r6t4gRRjuGAEFBppTR9GWKpuwzUcqR
71rPoS/lN8hmWP8VvTXNx67V4u9tKpLxoUAA5lIMsk0fFPgVOAfLVksPRqa6yM6oeWafVBgtmV+a
kW4Q1xJDOVQGIsoSvEB+rNK5/UX0mOw3ej4lqLQqSgMuaoTt/zmdeeQcpQvZ/VlWov1Yp8JGI15F
x13a49Q8Y3EX137e2PKba2XeTwxC57M32Y7q9wkCkVfkdhrnghxl0fvc/sNTn5V69nZsx2H07aiN
3CPvypH0vrCy6CiLYWgPmTdC4FNbA+nKSOXWO3lJ4eRHbe7N5lCP9qSda2pT7TVTBw2DsbxGQrnp
vORNCSuq920j876BKR7dQzeV1mfhWW3pI1ukum91ZRwDq9bG3OfuxMNV5aKZrkNc4QVeai628b6b
tAWkSLDs4qCgzdIdc/BR4kFD70ocai4L4btD1P0nTFgtfpgrtvAHg47zoRVzob6pO2l9QZAmBgCG
Et8h78u2PCFcQ29oBuUWPQ88Jlu/cG2hfCmnRrcPUY27h1K38qOR4or8XKp1Ln1yNtQOKtX7f5yd
13LcSNZunwgR8OYWKMMiKUNJlLtByIxgEgnvn/4s6L9RoXCIYM/EaCKmezoLQObObT4z9Zcxqern
fmqs1kdMzvhSVvqsLVxVu/jTKb0uA12T/V4DaeOupC6k/8ckj7xj3RsrxRgJp57Te6uTxnuAuOEn
r/LcX5La/CMSXb9xtZl2rpObkE5GQJsI4AAzSpOO3HXYwwR9cCrQ3/fo4iVBs2DtSlSojpNi/Xz5
4rppGdHhN1lEJdVH73I9hh1p66vW4Mh7u9Gzb+7oyafIaG0wR17afi370jt3oik4edP4GbxuWh5f
/gE3j8rIaVF3WJpj/LlO7MZ0bGY8oMU9YJfiaYzH6aLp4UDZVovTf1kKnUug3Vwp62FS2ud55KlC
3IdDlx9kHs0+BbV10pXQ2KFTL/fS+kIhm2N0aBG18EW5/oBJPAN2dHPmvdVQ/e6kMv3SOiZlr38g
uHPwxClpbueUUdJ7cRplVE9Gz7Gtkdf3Auhk1o8YEeZ5Z1NuXZIUvDqSe7TEARdfP5PZlsbk5RRQ
IhrqR6zch3PPgHg828ZI2ooN/Xgx+1w7Fqo27p3CrW0C45+22CLmc9PxyyvAd7SIOIVN6Z1ka9YY
VrHuJVda/F9e/15NqkUU0oCu3cBpcjtR23imj6prqQcOlhCFr9wZu6i9Ac1a5WR5lw6Ef5c3Cjnw
pq7RbcUuxmlgoJ1m6XBYGqYPU+01P2czd/9nxyb3lSpddBVkXedvhF3H7pvJLA3l0MaKm53CMUu+
qWGOsBw95unXy2/i5psvPw+5Kn3Bpizb+fqbj0qMFn7syfs4rPMg1w3ukWbGJx35ux995BiwF8cs
CMN8ePPyyjepJitTKYAuXyCkiJBcr1wgrzBEVScpQ8LxqBi5PGZl2Z8t4cyPemJNe/2Vmx22LEjF
R92HIfsNFq32uiqsYhbMlUncF5M6cqzKD1BSsp0m1d9AcxUdlqUW+QPmvos01uqtGro7gdB1mETq
c9j7+hCB2B71wYoO+DXV3Ith5RY+GQt9uazKK+qlKa2/6yItntTCcD/hLmFOh3lCVwU11nygvk+s
Jr4zvMp5lk1jD5dxKMV34ALZt0wPwS5NI4937PVCm49DZcy/8lHprKCE//et1pNey3zu11r/zJ7v
Wh/g69g/1TGduqODqH3GlA0ha5+0B+OyApTeNyTUrNGnHHCSwKGh4flchX3rR+jwRW8JW+JjPYV2
6GuTO3x5eXvcBFheIaJIwEAQAkHZQb/eHnke22Oc1/Q5eNajPYfts5Uo4rW4umUVumCMM2Hg3AQC
1Un7OcYCAxuMVifOJcqbWlZ7xkS3EDCWYT5F/KIIuZ0OJWma2RmY0vvZCZNzliFkQr6jHsYkhRpa
aSH+Trr5Lk7a5KHQrfl7jHzlu4G59eHlt3qT6yw/hDEgmd+ieLIuz+0hxBPYYO6fCHM6hplGsFca
ZtOqgY2mq7AnCY47x2ErxrAcRwFRPlqBq9PASfPmBXhCDyTK/xfBKb6kqNY6PvUl3qFmYX6HH5a+
CZFmaF4b6XngxSQDZDf4AzLg623E1sLDXi3ze7ubhodazXrwZmHrx73X70zGtuILbUc+8F9Fq/WO
TZWScm+BLokhdGlwKhFMFQzvRzG7O4nOxmeE3gq9mIk/Of0aWUIVERmTWuf3E+rF58kU5X0pHPuo
MWoIyiouHlQnzHcW3Xg+GkpoU4GbZIK0/oy1gfKW1c7yPrSr9rsBxfac1F3b+Yk+o6v68kbVNq4H
+mUwtGmHLzP65a//0zimcUYF0bNpaspGDEEt7WLXtfSLJkuOZjKpPnD99FiLzv0zMCo8lAmYO2Gr
DXpi6Ogo+Wxd6IK1x6hCiTms1D0xqI3MmnEv3SDHsVSwhqsLDDp8rI0j90liOcCndNiLBEspxhPy
C8WnxEibrzP44dMoBP3ZWcmmu5df0uY7WsakHNll4rSKkZUL3KWm1L6fdWE/qJ31PsurMegGCVMq
grX4+uWY6yyEY5jV3ppkU9oVwmgtuULpasqzWzTGQbFkdOROyI6zg3vVzoJ/X+HqHgWXAFR3sRO6
HVo2PcLamWzBrIZ2+RYcUXSUbRnXvrBE+m3y6uGEfWvpBEbuTZ/CNu0vcJ1eqeuwpHB/5V8528Aa
brAo+qggG2ECspF2kzxI2E+HfOghlCuog/yHV7x4WVHDoOuwPtgyU+fKFYO8dzO7PTpRgvUwXQ7k
ICPnoZ1r59vL622daXr7yB5izolmwCrl1+OxHAa7gw8bxc13VrLgIg+p+Wz1eGTufM6t7cr24dAx
cUIKbnVguqqco1EtxH0zy+osNDGftUqvzgUaMAGi0/F/eDiqbCTLaGmya5eH/yeEZFounHC2lsrT
Dc9zmH9A+2k8JqZtfn79a/x3pVWwAlWiRTPp0H3LkPkALEzQ96LvpoX2XsN064tRT6AQtxAirfWZ
15vGij2NknBqysIvwPG9yZrW9hPYb8//4akWzCjdUA9u3eqpJnivvRqBjkrVvMVqkMN+KFzi24B3
5Z5p2Ea+t0C2DaYGaCzfoOQFrTKVLlF638VRFwyuMT3EpbvnVLz19qB/L6m5tVH4DRjgmS1wWPzo
ZuM5xQfrOLbWfCrnZq/Fs/VAFDiUG1RWy2zwevf1mUc/qWJQ1+B4e7RoJ98D3tlDsG3kVmwEkleu
AabdazjJKDQ7HSsDHzfbyu5atYkxnJ2ai9Xb8TF2ac8mVd+cSQj3QtXWqyRDh8IBDvB2XC3tDFQB
l9p9XqT4/QzqdEcXSgTZiGD/yxtx81Vyw4ESYWB7Q11o7NGWbmxn96TXsJ2nFquv3tkDN27eNmRT
ML6oiZkPrq7TGJOksXGWkiP0umPapIjNJmr8cTLm9ERymeFd22vt0RAznbqhaw516hQ73JRb1DC3
zcJKgb7AxXeTsYYd2n8UP9m96bV6dEz10MZ6K0vNU58iRQCoxJWwghWI9n6B70R3LgopDV+ILnyk
2pbSB0rQXci595peW5uNmMMvo2dyC9au0bdDn5UhQA5c+mGwK4YYtqO8l0nxcwhH9Yc3JO33npHD
zs2xtQEIDRQP1Gm39F49dG3F8MrsflR7+43TDsmXxVfo8PI228qqgSkD3oGvhorT6vt7GFfmGGjL
ewfjul+yG6OviCNOvjZCcgdCNPreiNnj6xalCQx6eKEiLXLvHKfrMDEA2jfwGikvcyeUQ9P10yVz
y+44FKY8dFJHDmxsjZ0x3/p9Lp1n7hAIK0RBXGuX1Pafm3FIiygnwS4uQ6QaJyPsGCKNw95XW0eI
ZRVm30z3aOhhLrV6NKPsFWqYML/EWmb6IinLc2nosw94sT++/BZvKuz/Wwu1UBN+3KJ1cv1EIkPY
WlWQwmmg3Yxnow6rhtBnyPfZQCvoVOLK+BjZdT8d+pK58aPOcE051pNTDUGqenm2s5m2XjFxEcw7
vSbq/tUPGiXX2KxNPHw/5r+gsLSQO4AT7nSIN5dhmACKmOQU3fDr5+7GRlSIgRUXUTX1UzQI5xL2
rrLzMOuDv7zdZYIAWZSUA+zo9SpVkun16FU514onDD9n0GofDNml2qmNUCcwp3hU/LRX0nOhu1Lb
+bobD0mCCg6L9h036t+Q+c929QYFB/dmri/oghufFKsYoFl1e+DarT1EiEGtjj7F0v9ezdmR4R7o
Q8n6Eimm+uwpdfiurFVKyVprAop7JShpyQZ9P7enrNW8QBdj9clSpNhBMm0cHOBfVBq0pBBlWOsr
JmNX620c1RcsUvK3vW3lX9BQZSRnRK8F7fFlIVotKTKQkAUVcv1l0zKZRy21q0uH4Puxz3GWZg+9
0p+A/IQhCfI/SK6x3o2pZFEaoYKMpLioTj4UfsZO42kGr+eMoi2lnhjmNO8jxkLRa7cOK1OsLsYd
ADf4qtfPl+Xg+VNuzwtN7uiD0Xapj3d7t9PhutmgrEJzj07FQiKgz3+9SujVbe5qIsVg2en8HMEC
P5+qvbN+u0GXZVBjIb02yAzWG1RmUYJ8W5ggoVRxxieJQ6dv1dIr3/ZCDuGzHrezej8MemOcerVP
cHqUVq4ckceeheubXprql53IexMb+FEkPwuJCEkIttHq2cu80Z2Y+XxeTsbIvaWirTaZEaBXZ2TD
MZ8Pp0tZF7Pjx27q/TKQhgt9zJPV9CGMk0XlvRXCV2sNPcHRNppv2oRz72kOZfypqUuRB0okdvni
N4eM3w0H428rA6bh+pCZXZ/HfWqIi1mZ40Nq58mFXnr4VGfS27luN5daBF44AhyydfxSPBwUYNmK
CxhBcQccWQfaIZw7lDqeX/4aWysRnzlhXGouENnrjxHJgml61KYcNLhHrVG3lywcDb+LMuX48lJ/
06F/mzPLoV569KQRTHGImtdr9XUjmLam4oIQm/67MBGRB5ZieM8KdseTn7WZ/F7xDb6nsLvTextL
etfXok79hgN0nQVV3ZmGX5H2dG+ssree2gw27dHJEqdgWOLmP9UwNDW/b0bjc+H24ezrmcSKbaD5
ufc0my/ur2y1upgXro+WXpUVHIohvThDASFSH1O/Uusq6FEdf2Uy+/e9LYk9B5nW5jr5isYBiE9L
SDITzbybuyl5XOYpr6yZllW4smHXu/S+0VO9/jqoV6DD4zjpxU4995DGNd3oZNpTDNgKfEtrjoE7
oxpuz+tVGqefYTR0ycWSk3VA7sKg+YmQ88tbbWOVv0oV5HA8Czym61USzFxBr/DGBqFH78eF0m3Z
NF7/yypkOrgtAl5cXxWTYg+50UWsok71EZNecTLDwdhJ2DY2Gg105GFpZy7aG6urola8AmlcQSzI
q8mhxQf4wg9H1819sP9uurMNNqIzy0GlJiNbBDhWr07IuLfNdk4veKdMd9D3kLjRMqYEXu/NX0Yt
bo6Jmho/VKDKO19t2WGr+KCj//t/wn/YP612YBM79qI2ml4KrzYOtRFVio9O0wwi21WLN1o8Dp8R
p/H+tIpwfleq9fvl77m1Pvqr/PvvxHe9vh1aIkcGRNASlsV0Iutz67eRmnXuxfaEiN6kelU/NXhT
dUciVp0fDKRXitfWdxDvPP7FlImi+CZ1zlRK2rBqxSVWe3k2xoZATJHrfmi1NP8YixTyX2U2e/rL
G9sMJDUXM7uMj7DeZkrhDoWHYO/FHixjCkIXjrdP59NBehGPz9dfcBSRBJpFbxWE6qrSKwwHqxLw
jZeiGlTd12az/lC5VfR7NCZ7L6VbTshqX10ttirThRlWllWHyFl2Qj6A648OVtuofpM+w5n+WoTW
Xv9paXSuV2QIgEEQOeRCCbmOP13SDpVXmuJiIRfS+0iVDJ+aXOIDJMdEdX1wI3LcgUfcELYI4ADU
CREg72kOrG3gikZVjL6MBaKG1fyECkrkQ3Wc7qysNw6RnQ+nPqvEYUxt7S5apAswB6mP5I/1z2bK
X0tb+/trGGEvP4brxFx1M9k90CyRArioVsoDq313P3pu+dhFcQprXDfxUhTFa3uoy6oEStJqZhMO
+dP1i4cFJHJbKcQlbCUE6wJ3pEpV3J8vB4qtzwvVjDYtLpwWWLnrVWp9Hoe2JZGZY1c55UrYnFov
rT7WWHN8EElXH15eb+tsckY4lpwXjvpqO9kt6XnjKbxLAzFmBPmKoxV17llB9O8/LUVevszsGIGs
7md1tEeldKVgdqpbvlWNP0tTg1DpWdrOvbZxRy9DCZhLMGCR5FyFgBTUtpLhaHmBnpo/qo4y3IcI
z969/Oo2rjPaSUsWvVguk+FcfypPrZvOGSi0oNXP/bs8RInSH71kro5wN9L6YieRoR+8cKyce1Tc
4j8vr69tfDsTTMoiZeuQW62rhtlsHKeZSeVF7uaWD91BvYuUEeMIZa7F8NUALJN9yasiF4HbloCA
E2WSETrmnlM8T0lqm4cUCdommK3UzI/5nAv75JWetgd32vgg/FLmbIyzFtrCapeB2M+NuObsNA1V
DZps8oHmxs7R2VqEfQyfFdAey6wW6UMTaWSsBy+Ja4Gfi3XA8vO0x+zaOKBLbckmXnjHdLquv3qO
U3TfOjMujkPtfEA9KHnXWGPyY0LT5LkiV9/TWN1akFAAxgKvECiNq83sYPelxIAsLkpRVIc2mfVz
O0bTG7ik30DBN8eXd9Xf1HJ1wZCpsxKIp6XCXx3TMnRrfSj6+NLKqngy7Dk2AY1hNXfAECL/qA1h
X7xxQ9XGSJtp7t3QzT3a1+Yw3dvTrFsnoxPo8eSLHv2PNJWGxDQjjaeD3cre8NVJQHFq03xEZwbK
EUZ7mhFHRxuMp0Dy2TXow2CAq/i5RIQ5KOpIpNwnmRueMiiqJ89Jlfq+Cl2jBQKWpcZBpk6NpQPm
ZM6p1sbitdMlIj8N8WVIR2eBl7J6I3TiTReP9+hSTACVBmbiAfMv4xC2zbQTI7c+9iJpQTgmT6NB
db27Mv7SQHsV88zRmy5hruef2rbIvmPsrQaJUPT/srvoZdI2sej50yK/XjDEdNSUUafcDVrnHADT
vY00k3rTbPr7eVbKnefbOqO4AdDr56XSjl69SjRk1K5XMXkNVbU5JAYgxLKY853IvBUY6fEvDHMQ
vDc1mlplZVR5tnKn6a36w+or7aGRdfNhMBLx8eXjsvVA/y61fNB/2sG4Jy/saw8/WSNrA1MR8uwU
SX7+D6tgw0lTAOY4g8XrVWx7HuN+sZONshrACX3xMxq56c4qGxcajAM0XGAIoq90g1FI4jHTzDy6
hI7RBrnQFESv5uQUdb0O3qSOz5GLumuUEfNefr6tbe8hugGrDAYCEKLr5+vUVseUlxPWjQsFgSN/
LvpM8z3B4w69tIKX11t29SrG0br0wEktvkv2etd7eCZThzrxRZqT8mQ2mnsStP9OU6RVQWOn2Z01
THuqq5uLaowNmQrxX+seVYsTQZZabnwBshAexTD3QVfH1sVtdecA/7m98+ip7hS+G0eB8fGClFqa
tTeiqE5jV6GiNNGFnaq9LYXdUuw63Wel94zTyy91cym4wGhkc81zxK8/os7ssHcz7t8cMuCps8PM
l4qM3rpV//s/rESNB795UbRau9WnuSctWZbRxbWqqgu0JDNLBmyF/Ca7cNgz5ruZxROqkGYjwVtU
G2AkrG7gaYzishVxfGnarns0XUWcHDNjzO26kf2xGdykPFpynmVgho353SwMlBZmyfD75cf+//yQ
ZfjFYWG0uOywf4JNVFYOwkN5fEm0yjjEWiXOZZh2p0EviyMoUoUasOp5FVoB6NOSRKWwq48v/4qN
s7pEB+4oyK4UYfr1j4C6lA/WaESXRnSdP6bOb2nojQ+b0KKxYr9WMmN5+dSe9Cj/ooHX5JasGEw9
LHrlTln6e4di7BK8u9v4Z4t54B44eiOas5uYc9FFXtSKV3FoLOYKAnSp3CVyGAJDa+r7Sajq5eU3
uHVQFtUV2qGIu9PhvX6Dk6zszsp05Q7l2aY/WKA37yaBMJvft4nx7eXFNj8XdZC3gK1vx13IxNsF
fG/lLu77ygryFsHNJtSYgqQFcjkzdcHONt1aEX9OBF7QhYTZssphStMZuVtqbt8KOuMjjMYOj480
Ct9C3ZsQysiko+4E9K0PR33OCJ/3Sj6zij0Vkgqem3XRJU1SjqE0PRw07b1VtiI4aRl5BZ2H2z52
iPEuoz1S8TpXOlxKwOhXeCto1smFifoAmQLu3GzEe6KJGxtmGTWj2AKXDEnc1Rv1BppLca6yLa1U
u4/jIjkKY4AiDGxg5+PdYJ2XvGwBLiyoWodSbfm6/8QYBQXCyUv75NLHkVTPugzbCvpaFs5gefVa
+YwsX2WfDKnL5C63LaUKwrxBGAl2CZoPaqq6H1U3Zo4aCaO4E53snzMQ9fYptUJL3Ukctt7Mv792
FRFrZUqztpHJBb+a7mAi4IOiVqv7iFb0O1ts4+ODoWC2hC4E8kzrwi9rUqYczKjp/8z9JxWxi6DI
GR0vtPF3RVeah6Ztu/PLp3f5sqtEheY/+CHKfG1x+r3+Gnnf1RV6afHFyb30qR20ybcVLQ46YeiB
a2fKQSep+sbnUQ99B5/y5eU3jjKoHAydll7jEomvl++L2G6HNIovtp4b+SGqMwanwEqlfo5GPUv8
SXW6vRpoIw2lPFhQnkuJSBP3elEpJxWXsi6+eIqeINNSNCdrGMQCWtfYRLRYNYGAd+jEr/SlXaAB
xC0MpjhiNk3y1cpjVKZCx6DsoqDd8q5A/5WBX6whXQav+vVvFuwacNbFqYqxyPVDOpONkZVcZiFp
uKT0laGdpS3g/ZR0LiO1mndOytZbhbi5qOMTvrybnlgnUwNBmPQSR330BdmvEsBVBWnB0iYHYlPn
geAlLpyo3hW5s/jff/pqHyOlQqJNzbcorK7OqdVpIVPtijfbxWmHqzp6zIcMk1NU9BtnrJH7KXrm
nX0UHww4lgVTkFjV/dpw83dK3AzPUa3gGScivcnfjVzMkMkiDQ0to2vFUxgm7ZNXu/UbPeT/FpSl
W86n2rWKfOdEbFw0AOIRiCVC2rft97GO0VCp6I5UZTq+s6ZSi/wubvZINVvLeMxMFsoZl+g62KTp
KBKlz+JL3ivTo9v1cZCbTnx6eRNuRE9ngdyQ6tBeuhnMQKGZO3uw5aW0sIQ9GNizSt9TShByJm3h
7y+vpm9swYVeCcCH4SkIqtU11jtFU4plWBIajRudwqZEtwqEFgI00hy6wI7LHOVqo4f+NulTmUKh
Mb0eGzIEm75L3UrnE8+RZIcJVYffRujOc2COep3dOYXDP2CU8HMxu3TD5lyA738a8C0d3plqHA0f
W9uORGDmTl8HsC8j5b7iY3Jj9V32YEZd/oTK3ly9/hUD44XwBfSOJss6mFXooXZOZ0iy5VzOQVj1
w9mIzLi8dCl/7txRNwxfItgCxCd6USJwf68i2JzlbT+D+b+EcCxdhJzbTAs6qUJWypEARklEb+X3
NoGl9agiNaGey0hJF3UIhwYTpmuN6yt9rXX05w0thtckyz25/Y1dtzB2MIshpwdBvfqNObqGsD0x
o4Ryx/dXy+6kjOgzWFlm7kTZraVQGQT2icwK1girpVqziOMsw4HSEqZ26rK6/RXKMA86fc7/vLy7
N5eCjwR3hUqF+dB1QI+W6XYZ9tlFbQv3NAnDPrRK4ga2yD+9vNLWMeJ+AiBHexZN2lX5MISiwwNL
Zhe6Md8zmbhHz55cH/2R+clE9yNAR1kcBq1Mv7288EZQQmaYtjezR0Bw62QkbK1IlRZvsyja8mhM
k/NmAvz1+vkt2c4yJFgsLW5QpFljZjlK9WyPKMnuZqGU6ETNzhskye0dlMVy66xuJZaiH8nNBERp
HWWTVg2lpqY8kBvhYSaHPKhtKrKkmzQuICUOslItnl9+ixsbxQMBwQ4BjnCLdw5bhyjR4yubTJCv
u6gJH1Jt+O7Cct55vI2Ngh40fmlLjrHwXa+3ZJvoXk00FpdhVPr54ukFfAKE1KcyqIxxrt/MaTGO
b3ugpvbHKHL1cC8cbeSPyzSGoMwFQzW4ivjtVEs1KlTcbVUz+RUq9OzvxBinnzQ7yxb7FVt+suKZ
Tq2VMzz+oEwlLrQ1Ga/td5aZvNPbzC5QfnCtBzBe0HTLIYpMPwvxnj++/F02NgNFD4NJbkSTzHOV
oiSO2XepYJpWkpKdJSo9KMGI+a6wjDnI0P45hMnY70h3bH4iQJpUk/SXmDJcfyK3hKsSOr24dE5m
fNO8InueinygLjfjc9q04lHyfrneVOvy8uNuNZPIMDjFXMdUzOul6R5NuWrq4qI7U1z4iSzdxMfG
dU6DLMyJ+tw0WXbo5qLMg75HGT8YS9dAqqevlA8v/5itMwEFYIGOkxwyqLx+DW2+CBE4VnYRKI26
PvW9/jWJzEo/AZFu9xR2N+IYNGwcZOnFLunP6lxQZcu4KLmAgP450ByQk5J6mB9e/0zku3QjFm9n
GvfXzxSRr9A47Fgl05wnQLSGH6tTfoy4F3e27tYxIxldbFnwd77JFsfSEpWCaejFtDBfbCRCdIEx
xs6XUQwIrAq9y59f+3DaYjEHzhYKNojVVfkyI7w+1F4qL3pWazRCzT6rD55RtrjlzLO9s9pGU4JM
mOknjWWbcLYmpuQmbUAFRujF7d2qCLoiRa0qR8Xqs3BDKhlTNqhHtbhnl09eMcQR6mke8PGpthaZ
NC7iif5w1IdHTAvT+GhX5pAfq1xvQ19aRmW++oNAS7cXJRNEBkDNr14PxEiIFgMITgv00THxRuve
EmV5x5ES71qv3aOLWeyl64sMYPnChaJeBte+JniApyvpuxTpBfUyIyDtqIPUnb273Oidu5e/vLbE
7PVaZB80SGlGQfNYxfSorWwb5ll2IahMzSHuEIK7w7SOYnkkTn0qKNu/hVlTFefZqRH+nqBrjL5R
O2mEcnNVCr9qZWwjH1aN99kYeb8BMdWdX3ujCo8hGobogA+8PRz6dOA23vn9S3969fsZiCz6F/AM
ACOsvo0zh0bpVACoEker34e02+CLkdf55qTPdlCHlvk/CkcPFpT0iEDCMdOPUgg5Pdp5lo5+DJ8m
2Ul6bk8wUoDsb4AxNN5QALsOFrzPTvOa5apGW++Tlii2bwyed+xlrz2X3fjl5ZewsdzSuSfgkmPR
DljFpkRRhyHDzBNbaeqRGD/Mt106A2jybJo65pzusWaWf+DqpS9KWAuP3N3AyqQmIR6RTLA/yIp8
GGIw2aOqTsdpNt1zKCecaEwn3cl/buM8mGaH+pmZIodxPS4JSzQNu170l1Ko1XHGjzeoc93ZuUiX
I3b7dIxMKWrJcuDPrbvPNk7Dai8yD0n42ohPSOal0dt8cqyjp00KdmyDMmjBEI/ON60diuYYW5A7
D0NT9ROydEr/W1KQ6Astzf7ajlb0rgyzWL61qmaMghqdueoRVknbBAPy8AVj5jqOgPToUXMOp9AZ
sLNvx/59M+QZ7Ou5y6mFRZi1D3OnyjowCsf7gd6I8tWsLPlecstGtPH08KsbRfHs2xlp1QFJGuXP
LBMcZnNcLt9qMmp/TNOYyUdvHsdfltb3KdQIC9U7Q8DrCHiUGO8wrW1FAGCs+bwc4dgfaYtap6q1
MKydPWcS73Ozyj6puRRfnVQvvqIBntbnWM+az7FLX/uoJfM8I204YAbhd6EQ/8sUlEMuHb0hxXc9
XGf90iqz9uMQ5q3MfCSChHkeBpvRiad0U/kjQiJM+NNUWR8UtXB/JoNXWfDrHX0460lli0OqibZ+
FAqj0kcJXSo6dNaYiYdFME19ADRuGD9hSieKr2vaMP8ioiHAaVWZDlwde/AwSLwpeyOR0eLGq+tS
Q+IirD5KSwkXaRV79NTf84iN4p2iV4PxJjUKZrPQY0dVJzQ7Sp7VF7cRAFN/4x/Z2QE4rHwk3zWs
30wWcvuBAn46i2mumqCD+ercjXSc+rvM7bPfcah3XxkYk6lI4AxIVpaaejdm/A0+KMshP6TtpI9+
3pYOwu5g7suAdthQBQCIoj9uXhom2tNKOvtdLrPvxRQNlW/LCHVGlB7cD2kZahmIMBl/qaywRHyx
rbNvbZ2YWaC7DTn5xGXngXEDuHcsLCErHzSPNvtyzoDqZHXugbmaDPk7jGovDjQNsAdw/GhCbXIW
Xnag3Tt+DqdYe0sa034DRNTmx7hsRH3sM5Te/Fp30QW14zDMAtdriyqorbn5wxlHVhd4xRMqM3mC
NVVrPyp55wK1cxg8ykITWkAlIoI0LO0uQKwueVIaPLt8q6mVDn3VqnsQqZsVPv+pP0eVyB5S1FRR
Z5Hlz8mwpXfWxaSVh0ZF0DPwhtB5StrCTn0l1/sxYPsjoMr1oBqo31nO/7TeCL/OehThXDQmI963
IitPuZoZ2aFVuWce46rSIZeI0kTTzCHLVsuheeiSFEEx4UThkzaryVePKzQLJuxQPhYiTD+pVoXq
koIoVoAoujYF8K6jX2YyxAr6NpjnBQKWZeQrqJxMh1A4uXtXau342dAr4z3UZAMdnCISn1H7sZ69
yOyGYK4m+20nQZYe4sQdfhWmMul+1xf0L2vXLfBQlh0+M1VTplGgOTJRD3HRTyiJFnOv8L933jF1
uzoM+rlI32HUHGk8WeJUeK81hVUdjKlJpl/Q9jjKjYdnxaFg/pfdKW1lPkpGZu9mvEgOslLy0i+K
bph8YIfmHLQ99N9DwXAPy1s7dwOJc8sHxbDr5jC1g/4OU9KMP6y8PshydmUwzoMVB9Lr8q+JqLM/
olQQ+/TyEgVad4qcll2Y5++rqULrzJqS7kuM53wUVGMkZz8fVA5IX4+IxybYgP5EvblAWZRgJg8N
cpvhqY1t+7OtpsOfxnazz0beifHY2n1rBV5jx++tUrGjM3hyiEBTXnXRIUZ7uQOiRSPwQMLvaWQ5
Udj4Q6ToZ7MRMjoZBUMk7Oqa+s0odFUQ6eTwHOo6za/cJG/2Cyc1fiVqEsXHqa6m5iTE5NLaYfry
DeXzFC9GWmWJ32Gr+NwocdgFMrGtL/T36vaIkFVd+PAy5z8Kc96Fxja6sz9ryvSlGPGFCrxIkXe1
SVEdoIKJxRuzPEUcbPaM52tKmb+H45Z+BWABBqxv2h6auae23/FmrKYASTb1h0179ksG1qLy40YX
3zNrsqtjZGaEB29ojdB3EtYK0iRZOBawzSw/DZPyz5AAITrUlp3iA91jwxVUrpq9g0+fP2mwEkbk
Y2OMIMnPjc8wuelBqpj1lM9hq9o4GKL2+GNeACYcR02pcSfP0+SkO6VxMDXZ4jpd6W0dYJM+fi5h
6ZCaWqNiHSMy8eYgkCbvDk5dz5o/13o1cv9hZnvGknV2jq4yOGBwHAX4AjjVUPdNs5wuBeLL4bkp
yoXxh2w5L0Uf6fgHlkCnMchLJGCPKVYTn2kPFJUPiAmAXlcUxu9Get4b2EfQDZ0JjotfyQIdUCTB
pydj7MtHS8SIPJtRDbiJK1K8m/R6ejZxQH8usoq9Go2J/ccNyeOOxUw6TewQ+v2Yik7lpozc6mSO
VWj4XtmhC6BOas6bSf8fR2fSHSeyBeFfxDnMwxaoKknWZFm2ZG04bstiJpPMhAR+/fvqbXrjbnep
BHeIiBsxhsN9MK/hbVsvzZ9aUBZy2zVNX+zdOv/UxOr1527lyGUF5hd3rWyOGfon1Leb1N6fmXS+
oVwlf8NCPmZLmV/c+jSpxH7J9QhsLjjsAU0eNWXQ1SJ74Mihqst92ZOL508kiwTkwU8FllTmXzRV
Q5Qf0m2ac7ebZOQtq7MvjrjVnk9UEyc/yGCYixEZYEPmaDsPORz0+EUk53owWzQCLFoM4dX6IIhM
4dWqHnLPTtlTg0/Q3eru0VYQAD+qPAzm7n0dluafkL5dyyoZ0x1U24nxmXUF73/khBOM0xAxYGjc
EEdIls9+5vech9gGPx2pv+hiZ2R+qRzO4c6a2n+7xFuVldtYMRzLq18HWOG+pMip2ySFHbR03Tiu
1JsfEgCCCKfuX9V+ZMMJPxJ0QmvrpE8Sv4G1TLaKZ1L4ZsNQmWu1f8HkTM+9MwVjHo3haIs6TWVf
WDKEt3Lvr1ULFmP/vtWijW86v2sfcH0znJi06qrniNT63PtTvF92wZH/mSrhPqeLozaGAm8/iWWU
2SMrfPc929HhnlQ4J2M5RTtSt925yiXoNzsV+cDa+eS2uA/msnZpO3UQk4AzLIPb3jsOlsm5UWKQ
heXYgv64bpJXlGr/bzpM94xrDdu/Fza+LBaAM//mMNP2mXlLfdHxFGW8L2Z7FfEuvjV7YF5dd6QN
unqCf5hmPVe58KmwxYx2yuZj6NL8nb7HcSpN0B3Eysa/h7TjDXMPFdxVHXmq/ARAn4RmUpQLb7By
ykOnWa92liJ+YJfDKCOpUi3LsAsW93T0widrqJmpiyrYoqhEpIOMaMCdwecVydInRECdx3/UVD2G
6FhR8/g1zr3GlGLM5axX/hAv3CcxwNvRZxJiuSvCCzCoNaDn8GcDg1en6uqf9KOl5TKfIRY55dhF
+aB9npVqX/rPhc9W5eRKeT/GUdY/nWjJ3hPt0uTrgZq+dFvkXmyDGepZHQZPb9TBngKhlkRfKL3F
Dg/85EChxJN4XzN3lSB3/XIT7qqZbnAYD15HLNkC9g+vDXKpfDSN2UJc69mdnRBBN/lKQUnAADGj
rp2qpzA9cOnBB3Yl15z5XeZsWIPK5e439txA1ZicBKb5Ou0m7pI7cdT/t/jToW6msHFextFtu1wj
VP/pXQUiRaSOlQ0hRj6eo47wbwgx3+DvVNvj07PZ5UeGv7db9CZdPzTOVfdNwmtX9CoY5hv2ZPzV
OamgkzgsOz3j4Rg+YpQ+wQ2mjYdTqePZy4jsTudDapfXLdIRn9qNBrfg3sv96GXX3dm4sn0xkRTY
FGaW29uMaA/jRQ8/zzzjVHwrmkXhJor+vpJF1du+OXkLg3iRTWw2JY+qh7M46tu/Dc6KXqGyNuly
uozjPngOQpBvLAfJkPudz7Ab4A/+Mret0NjiDP5fzs4jRpAMX9k6meV4wvKdhyxszW5zDD/m5xpJ
o8hxHqj+CxbP/DrkqLZyY/iY+J6um4AaN5KY1r03AOfp1qu8grREfTPP7Q/8gbInmBv6/xHvWNFp
xqQw7+as/mvmoPoD7emNRZTO7lrEVSj53/rt/ijgkT5VGDFhN278Mjoc5+aTo/rHWroQsPsUbX8G
EiT5mjzuoItQSG3LncnrP/x91BsZU9I5W+aRd+fwli8ihcaeG9IlvRZpArvznunlzzis/Hi+3lfQ
Ze4AHiv4GIsZ9tD+ZUXbvgY5NNek+YFHNBylwrtJrbPNu4YEFl1tER/YWg/TloEdg9CS31UVmAcU
DVFY9JMc/gapUH/DOqNrDKHVA5nH+mhL0znhe7iwmxXhlth3FloKGQULnWRKeb4nGCtsi91r16Zk
zJPX72fEUsQcw/4RbfEscXw82C0j/wg+OBRl8nHa1eBRGmUEa+1kF723VWs/8dhCytGNrE454hTn
iYk9Yn1d5qG6rPPo2XxZzMaveYjm9hTIGtfCEZ2loStu+++x7Svg9US5TkGD7+6qbBJUG9Xv/zm2
vtqxbrr7PnlIgYQzxr8aDsX7s7R7xjGCkFnwLSWMQ5YpORCXtFKmL5k7JQIWb18l0QXYM+Sb2q8Z
KHElJmQn/sLmPIZEeeAYORRuFV8B47GmjbcqUf+6Hg/A3O5Hyw4I9jecrk3743DCzeQx0qC+pEZX
j9tMomocm7ArI+0ML6vvthMpEpH4JsYsYXCfY3cuuCvw7wMONgDatEE9Z5kef6R7vKhCW7u5BZIQ
h/bn9MtnXx3cpGXOIaKcJXe7mbps9nJGK/WTcN50K7DMrdrcUcr5M9A0/qu2WHz0QX1kuR2yhdof
CVyDp5ipyws3L6X8SScrukHqt31IInzMnU0lZ/r+/qNzRfsHmcz8PUm28YOgBS+5bKs3myIj9rTO
dbxLOsY4LaJojjGh/I/IgfORDYfluG/CP8uizGNAHAOMylStn5vsx4Gt+7AVPgIdYX4DvToq3Hmz
zwN/9jK0TuZc4tHbf1fjmL1Uq+mysnIQXvEmzIrOHALg5/8/EcobZA23a4c9beEMS4AcLD0iv7R2
an/2zL6XbEyzD3vEIXU8m7qIemfSLieNKvuH58/c5wyDSp0yVYXDGV8EjOKDtKGg7mTPvzE1evd2
So+F2IPI0yXJnFqfCepI/2xVt3+E1jd3kdchxpnreP+kXPOspCbif5iNy0SVRDFY5x4QwKfZo/Rp
SY75KIK4a/9jPsrCfE+d6Y6jDJOAUiwoDsAD5uq2kQc4kp7dw166zHZA9m5H94ixmsxYaIPx0rGZ
bzdKro3DUXzkeKdGD/oB3cq+F61JW0FjmoGgJqfmt9/N5Gzm2p8G2lmw2/TbNXjw59Ko5YmTb4ah
Ixybe4Zm1jWirOoJlYReR6zVfAC79nAC5kKUfkPeSLHq0xj59XeXdJCbyffFiz20dkovm6Ysr7x0
E6WtGuxnj3S1EwYRadoWTbPzdiycVACXrf5+SsNm+O9YvezDdYzqimbOPAjZmZzQfE13n0zQFJC8
WBYZvOLJLT46k20dr2NqLeCzlu4te+NimVitaovaKNcrGoDlOo/STf6oQ8m+Ea9z8+g62TAXTHSN
c+YwEbaDO8jopWtibyoHfzmQLwJw7XnoxRiedMkmPuNhNTqv8bSj12ep/tV3W/Vit6CqSkgG/5/m
p3nsM597QqKU0+9bazY+49hdr5H95KNCkjXmfcdSlusKUDsPVVb/MYNa6mIUs6TD1E06nyRb+z8/
sGlTGikEbcWs14BdGXAWKhAWP1YBUST5DECjz971wu7OHPP65Azd2KAHNNmzjNVCgXbcA2AjUYEp
HdDW6XREAgPpDcbby93x8O/EIuKQD1zF73i5cM2WDuv43Qm95mHLpi0G0dvEW7IvOizcuN1ebefX
fF/1TlCIEk5CPjs2GhBLS70VNPkkvqsCtX3JmNTsUqKf+5LhDixTh+6aQStlFE5lhuVTRnZR+W56
/57JjKzU8Xrql2ctGE+xTXJ7UoyxH1OGL3SeQMb/zI5uaVjIdSdypv/04+o9+7qOM0NLtUmu4Dgk
YRfrCQ5/zjLRNWzawvdOIWFoMSdVifsDQtBRtxN5cHOeVX78OERVcJfw4vrXPJXlY8P9+j8mOP8r
GHe4gIbII6ewMsDIR1ZJ3zCxHZ66VFPrfuOGVCqE1ZXYytTW8k8bLHsKhZbVGhOHLNYnc9Tq1wrW
RnxAWPfyxCwAtJgsR6vzZmzmr8GdXQ0HVI1/V1VTPgcw27S0qXB4845tfNa913yh0GHH9udlfSWx
b3vaw8b+5vkIXmL8cf9rQDn7fNOoQ3MvquaPEb+Ih7oWtX85+rX+szMxpoXqdnjALGEZy4/eF2+1
XaffR++57+RGyB8Kr6B3Z9Qqvlj0g0/c6yd/2raurtGVpD2XMwjcVB6Ot13QpaEqZMj0/x2owH9r
TIzeh2kbtwKrIxZXJlX/c9zB+UucpGKeuYWXZEmDHuM81+tfY8JrUG37FaISQrQiN88ao7N8H4dM
FZG7bdslUyAsjC3C/IK49r93SSZ+LBEO2oRoJv2NGV1iQnu8QcLC0ky23DSBe8DveofOdxvWr5Uz
7zU8nN+92axxKJubdYOTECr6NznJDpwK5fN+tMtIzRhaGQJt96R1wvnYOxnbLUH1kJhfXu03M0Wt
DkgU0uGa5jyXSJ756bAa2Bf3nkJEeWsrUcG8Sm/9QkpIVXH3JvEKyCXhnPm+rmwfj/nrLpONfcGw
5dwGcrNRvgt4xFxm/ZaSyDasHzNXA1PO2UsKFtcxy+YDrMCUE8oVLuViqDD5iAC7hTIhGwygyx/+
aQAG8GzPRYypdDCdQ7SFXhGaBRP5vVGc43ImQmmcMU7eQCJwVckjgMK9FKCnNVKSYXhe+rni+7Aj
FrnhKLKsqLtZ3Vkfezc+Yrd25ZjUwcMwj1lcDE3v/qqIJvjS0Bc/pnplxjDkDb0sKH0VOGEkQsqT
drIyGIbpzTcEa+Ub0QU/1yVYg59W2fBlRkomp3MqIb3f4Kz1v2W+BiYx3S+BYGmm10WXuO3kQ+9n
C/vMPKp7r0XPcYPdzjqe9lVUH6TpprdMhttIjCsaigK3ZvEZtlV3nEQ1pCqP9xjouXfGjNVZrMvP
WdsGlJWa3VzWxCwPmTHcguM0uX41s71ubCyI36O9l8976yUTTgcqsAz/3fhgpec/9+vmtqeZAy0C
nITev7oxDr6JJtlfI+n1byNPaVQeyWyf9y1QfwRhVr8miHYQtDZm3ZyCbvk5ILcW94meUsVGNFjW
ytlneF5HrwMSWteIXYJC2s6PEnRVeTeDSIO1B4SJ9igA2nd3YVzUTIlPPKPTq2so17RMCVNOtzO5
uwiD+1OjvIqdyyOqVc4D6DMBwsmUO+nmuaWivv7snD54TkFOGTeQ4vyzru+/kUXkvCs+i5dPblbt
8ELa4zyRbf0zMUEIvcKKHBQoDro7A6YlywYjZHBAqsyjcf1BcIXl2/nUVXwcWI0tvuM0YgrPbsOB
0CdRa2wDBNMuBte5amWSyRgoceRio6c4IEMzeLhVcVs9RlvobsW6j9mPyc7bfONvVbJf1rHr2Gz7
0ZU3vmWJO0X+uK2nIZjqt8lBJwt8oYB0hsM2ceGKLOpwrW0O882N6646bWSDZOU0xanJWy0TwpCQ
YqSMJWZ64WJjJw4Nvz+k2Inli+jxOf8BECF00WWDm36SWBHBCqaNcu/04h1RntA9m0JL0mVOJq2G
npeJMf0CMYQzvV5YHOZYzmM5j+O8g59yunEKvMllAWxrFzeubEfgcRaDt3nPQZKtSDfpcW/+XqWA
/1N0dXWUmKC7p3jstl9rspistEFiuGCOobLyEPHF8cSvb/YLE8O4lWZN5Tea9vi+KhvcZN0w/+3p
YM3NijK3P6d2J2QwnufsaVz12Je8LEAInZ/MDWtG3Gcn4XEtmrdLxIDYArDL87U9ere1Jcv4oWNR
+FsN4fE1zGvwW5hmF2WH7zfBmriziCIbuFXBde7wvqIpZLLJgcNMfPES6ZvnnYj04x3QY9MPBxB4
fAoZYxrizmz9jyu+er94UHfjt/FIgWUIz07GXwIPUv/szVhhlICC4XyLtLirz2uiGvEY7rLa8toe
yXRrgdMVm2i4JwXvBUMwaHS7341BqL13yhYbDUmxLHF5a9US50NLD37c3KGNnh2CmKA8nWzfzInj
0eGVqaqKb91tFOpJ+FeBWJ9Gu1+Orjg+RQsU+Ge5Hm9eSDZCke23LsRd07reKaDkdaeWxI2gIE14
IG3ETqN3Jtx4YTfl+YFK9Swmbm0VroZ/U1ThHW5UsfmWXYfun9Zv0u1vNzgLgYUwVzrvWR/5vnSr
t0e8V0knHoXbKeKlhyB4SLaNFBG23bEvOI/oANKtbXAOrej48V8RR8SOAeWPdTGkGn6kiepsPcFN
ZL+aPXPQAs6H/zfYQ7294P2vl5OwfZ8VzroyouoZJrcYPdH6F0tIs33AYNbxLk7XQuo5itJ7ps7N
X1vgKPds5wrbBgMXSsyjZz9l3YGD9NW+WYaXzPta+cvXeyC4uT8HgJjmZ9JQgy77QXYpbkaR9yRc
rs8KyYUCEy42PEHhYS9i7n1nam8WSVBBiV3Pcu9NlN5PGktqC5inyXt2iPoJiiaVmfMcMsBJzBqO
ZX3MKptCUfL+2++eWJR9AKtOwndc6+PkpDcdwrSI3bd3Hek65oF3wCOm8SCR8AROuI5lKLiSz9dV
R+5fD55blWkLNH8b2GGQt8C6uAugv6eJGO4RNHWLZnGjIiObMopbqy/+gpwo53Jl918H4CGCiXrr
Au64QOnFvIttepgSTS8Y2GN1adWEQH3Du2bMB3lQuRFKuN9cb+0AndpA7YUv8a1mNcIg9S4DePs8
5A7HjDZdE2hwLFVwrucKJ8CaerHeT9nMcwTFfWwlxuy1+NFdjyfoVS22ONuyLU4p4j7s+ZhLRVgX
moB4KyphVtKSjjUsMg6jj5wHzsQ3OK135qz7g0yiKnOH+uRP62QKFXZLX2ofauhU4TDnl40J5/2t
T0ffhawMl/iV3DEvucvgVlkS8TUsAmfig2N5bX6qeau4cBGI24uVI9Ot0EZuR9kOKz7rudmN2e50
pdq93I6w7U5c1fj8WPHBPU3jKCseMztFL/zlNEjBD/dLG6u98jBLhr0FvP4nm5R+xASp3m8g+Zq3
sLq2o2awqXvvNptrzzKzTBaRZd6EsSNuJm/iepR3XW3oi33jHHGJAuSA/TZJIPcCGHUO7vCwDn+E
rLeo7zqDwV0OWNlPrA3VcvwinWcec59wxAp6YYL5FdlSVWd3dUP5EyJC84tZu7H+BpCBCkC3xoAx
w2/Fp2FrECKiO9NQ2fXgrb+A4Zv6TNgPbqNcSsRzKVMOh++aiHy1x2lJnIcIeUV6C5wQy9yRbut9
i8A+fi5rFQGWNgjC4FC1QwVT2QQ0F/bhfm8SlIfFsBN/BbYwShA6b6yas0nqeMy7lm3yTh4RnsBT
33ovILOsGOOg8NYz2QSSOqpKfzShJ45S2KOtijE+pCYWRoRt2U3od37j/M3kG0BPdXkSDNNwo0Sr
3aes54byPK5j6j64+N1RwVcgAzhNeBKmHk4DgujECIGpD8lOsbnwMB5zuSjNaU/TDYC8Hspf5zGo
kJ9/j66OHG+9aZoGMhiv9ugku4q9N0R5Hf2QhNOt5bJiMPzZmSqdIQuoowPzOfgN4KzLgz67LGGX
UAFZPh6E2LWlg/A1OJnIZuZmqkO9nDP0gc2PRW3XdFWu4qbz5uAkLod1FzfWakMMLjbuSnWpKv3W
HLCK6DzKoPGiiaz0TshbutyI0pDg1DpvjYYoVG2wkgARtOM7eFcVFy3hGk2eEpn7NR4mbjEIGJbw
VtYKUyYip4dPKT39ZCG/3rlt3/6Pm7gQAcbswRmo2PFvWyCh5jWts3TPrQ6TufRl51R4CTESb5gg
Q3qhLgjO04R14CveNUjWExFM/7pFb8fdRBG0J8e2JL6is+pvp0pC21heN/8F/YUQbjH2wN//xGCH
7sLFaT8WCh47Kf0pidfzHELTc1ZGZNpMMPDR9W2cu+66yocaW3HSXlIgmns0r+16jjsxfxiFNgqM
amlBFjN3wj4Da8+KiljXdaH9gwP9YT3UG9vEuD6pKGvuuSpWNVby+xqcBSAxKMHaw9vq7PAmZDZT
UJXS7/s4V9akqHtiBSioZzdM8oirtDHfnMA+tHD22aW1FJPC01CGRTRu/n7jz4ptbnF0u5ynfpYX
g9iqLgIM+Zt74o+dsawWLoZvUgyyUOHuU7+XUZosshD+7h2lqSOxFHAMdGzafBvAa4eLU+xRUj9s
cg4wUp9sCrKX9c2jQcKJkqhZIn6wltS5uPVMcCFDUv3uJhLiVq6W0cK0fG4PQ+DxfLBH/WqaOX7c
+dxTkVXpwvZdt+LNboP/BxOE/iWMBvlRV96I8mI9wuP5qrxJH7xgBXRFu6QxsQH0JoRZpoIAWRxk
P9o+kk0emHTQQCBO1ua1jrPjcmzO9M9rebHPw1aZ6TypNoouvIwmPflNsg5nnCMQSRmx7/LiO3G/
XWIUBbrQbZ1EZw6CdPW6LizLpQrDa0OYjPvGX+ape8PA6v2x0mQRIQyO55fksRzNWaaxzs575x3y
ZanW9mfYhby6rVDV7z7NNAjGFgYf0D3ouDpsw36YHcDwtNU2+lA1JyT5zIIHV8zQwitPYfqlwdya
omrU/GXJbBnLFm7oEUSwR1YTm+QZawCFuCGN1u4Mu77xJvlN5eZuIFr0RmJxJ8wC6xhkfHSnn43Y
MgKQY/mFajgcHsLdbREvj1w++KsYiLsWDRhb5LaSm7aZT/bDRLNobpBuCWaAFeT6dUmupAWT9vI9
tvP+n4cWZ8RsMmVnJUxu/oSg69r7YDI0/CqOdfgt2I3W7xa9JNFvva/Di2qoL3e+A8R7qQ8dLOWs
gxXNjG9HTlArFpsOSGm7JXHZ/MCal0fUcWL5MXLL9p9Fef3dyXByLgh/FS1vZFMnN92GXUDZzOum
f8mjcsOrOitYbxY0sdOlkuv6cph1ZJ9WElMYA0OflcQ2wh3VDlmAedq0ZAVIyXqLmMPu+gYh02JL
Z53dZ06MQMtEMyt8Rdl3m/PIOvhPrOkGObUnkNGq5tH72xN9XOeBvx0+KOa6zbeI/vgSGCRkrqdp
H89BY7ymjDcT/ma/QDIAiLaPvxZhLB18WelJS0oo4JJzGyLwR5a+bk4LIGz30BO98qux/dCXs8g8
99QnixLvyVxNJCrNASxK0MOb3bieCS3OQqP7n6kswh3E+NGBpMqu/2njHLgpzO1iblAKEZmQRFGV
AjmulITE76Mnl3nYfg7zAsayBNBzhXU1F8TD5DQChZeK23MTdnjLZnju4c4XSPnL+jhdn5VVyt5Q
k/rgxD8JarOscISMxh7Ps55HY7lHbY93r+mq6YLDL95nyPZCc6p4UIF9Udr/7IbaTR7muKrRKtSG
9PStMWDobubEd7uzSMCiJpkHOBx1nVAxxYyKKIkQjNQcngOu1m6FIgkCZrqdhgxXt3VK661E+9Y0
yEwkMNYqa0NSnExBBz2ROL/2aWST4uv67TqpBvKSnJHB7EP/ltvaQBOhtXQRQVChnZxM88Mvj2VI
1A1ZdOmfQ5OZiQm6HFfmuLpn0Gib+XVd24ys62bz/sW6iauTAv/+3h0akRGtsuGyQibxlZ4clxNn
2TEnJVsTlvCJ0euMnCY+cdJQ/cOLEG3O1UTn+Yj9sbtk1egmd5TPtS8ZtwOfFiFnNuLocNEQsc83
55qxMb1E/OK/XL6vmfnWJERSIlQe/miFU37OyAEnnbfJ5N9AC9R3XMY7yy23bll/1cEcsohHQn5K
HwhyfhExaHruTykgn+5Sb/tG3exsEWUyPaXX27HcwCh4NxHGreOFxajh2q/um+EO5XK/IcqMNIfp
CUjbmSd86h88BKYjbyAox4mD/epuUrt6aAy//vMRL+4PyLP1hYiT7MOfSHlHFUd3dMGnXR4ehIru
V6syp88NxGZTQgSRwtdnG+QGKPyAImwDCF/mVr0kNnRtWfFlc9K5TDLNDcI5i3BZW/8E6t5D+nmt
j34cjL791pNpojiX80wNkQ+u9Z5MgXDu24BBoMxmaOAiJILaFn7jO8d3NBsgb2ausri0gxs9DGjA
mpdd4G3U5aQp6qVAldI+DGbzpqfgsAqST+9Ndgmctr066WvvxeUOE3M+p/W376Ro1xwPu9L824Tp
7LcNDFg8MZLsV0+DtGIenlzhXqBeGUfC2Mz+M8iUMCcyg1DlzDrt3oS2fZgHlR+p1wP8l3Gqr8GG
GcI3582bZ2e93wcPdu7guCR6BP4a1jNpAlH40xHDEZTIujag47gN0uuWYrndQLTUlJrBts172xmH
r0lmzx0LGvA1xKh7g6A5+x2g/u7OZgl5brJs2JAyBsH+d1mznR7Yz1DPNUoaHqrK1F+OVNn6gnQc
4jWEVlXPYZPuqEgBi+zzESzrB4LaXiFpRbmXz+sRj5fQIIY61SZzNK7Ou9aF2JL1mchnf2WQrcRv
wyBUc38inN+7dBgWh8jnqikLxtW+ptyBmL8xoDBS8tAajmPEIbcfB8Eh7rMBMEIy4S9hON+0dqVB
1SjivvvJHobgIFH2NnmD+2fOVPIrQKm/XPe8+fdYD132g6xexOP+QZzuvXVlPTxvR3BFrNI2nS8+
sls0vgHdqpA+ZO/3owVZuldqnrN7TybwC6FZ+x8Rd6bxo2MWv7swAVX+ye8hUm5rRGwOOJdTKTbb
uG63+y4CjzrZJV7/ZrTatdCNlJRqLdzpPNK3uZH3PA32j//bU4cmcczjVi7ILyY24ecdAEmQaiem
KmfSGM05lMew5shiFe6YEbQ/ysmrmwF718rUIg+f3z3DGLanIcm9RaJ2ARQm/CUoar53rKuW2Qqm
iziVhUvBvY6w3A2WYof7BthHQ3lX8Qpmxd6CYRb9PKaC+UXOU4ENMp8wzaSrvo6tC/zmqo9e9pO6
5gAWHrD477a3g825AQ3805I0SfigFWmsZagxb37A1wIJtcx8qV8HMNrjvJNRcn0aM0A5LjO6oThi
PQ3nEKnKjhST7abDyQNNFP2aJrjG0bsnAZoKJl1vvJCiK9U3u/btq6fkqItVd7tTkiEVwoZXAZrl
EPz66SCBwzmnUTAGp0nWtbyz3tw138JUrkyqwYpGk6+G+XNq7f44YZqAxdc8CNxVt050LJ160oze
2U7OrN8N71w8Jzc4hi4vc9AgH9pmKf/YKBm+4CLTV9JpgMQXv0J+f/jHg+9G/dPA5fOznYRRpw2m
AoXnsvsvA4MwnDd090u40oTgNLFAYjayyhQVAcU/tbvo9WwnHWT3wJReUi4puZG8DTOtFAgAatyz
pDoIptDfY7quHEvsCjncXkfpV71l10SzVvdbgTBOy5usmYOv0UHeeooHRBUskqnfYp07dzKGj+63
/xZOAN42TY+4ctqxPofH3LtP3k6dL6AxfHUbtEt1XHok62SCLhxB+PuYvnqJidWTRKRngKwSz4Kz
pJV4WsjHGwudrtjYrVsa/WnavksuQB2wZaLW7V2Q7BlHDTjYDzc0dYP0NKndUxIlajyhaUU8p7nB
/HYwWe4o7TAYvBu9zPsujBY31SQQNPlzxQ+1t7ZikBFueJcmI1U2UEL/XkfHd89J01Hf2dspsnxI
lqS+HeL5j0dD+bk1sVZFgz1OcHKjJkhvxpYB/8Q1VCiZciaCOpeqFgl3LxJlWRfb8e82pMvbvjvz
cuckrr3tiR8OX1JzpHsIsdwen660nPWEkw8VYPES+61Q50ffDgpXicC8m7jKlXN2PhaC5Bqw260Z
z55DBDgnDHZ5bhxn+sTxg314d131IdqhE2ekWuiVu3UF2heTFBHz+eS+tTAWzSt3OPYnGwo3dVu6
Z+V+0Df/R9qZLMeNa+v6hQ4jCIIEwGn2mWotd7InDNtVZt/3fPrzpQc3rJRCGXXu3sOKKihJEFjr
X38Da0LaqGsa7uGZUv1n5jbjtLHKnoOsMWd6li0N9OecFvM+gXP5GVMBxm1uHdW/NFy1bmVSv7rR
sizdrQl6wJx2SeMboA/2D463U7s2keN9n0SYfJljE+tVy8AkWjUzNA+01/EyrNwsiuFhnYeHt4bs
mWkrgpa6UncCpjiia6gco7QcEJR2xv2rw0njk7vkIXMLeBK/dI/a+aiHcUFHbS+q2WkHovg6sCdZ
7yVlWnCe6/vxemCQsa2tiOoLB/vyV8yHGJ26AtkaYKLjZBtrlBywvVW6DRczJe1tnjPSgMlfwy2B
UQiBvnBoCLZZa6x2W/nhdI9z0qh+LjxJfFaoGO2bSrs5Kqmkd4ZdFPu93KpRzukh05Nb87w8zohs
yToUP0M0xRvaGvzrVxOFZEvmCbMQQPqq/I73FqIvXoWMN8xGz4SjyvZ/2hXMqxXM8Sy+X+w2q7eW
MnC7qEhcl4frFpzNRT0E/a5BLNMejAXozih3gTXbdAKMuYX72m5IFCl9GDczFN+Y8hvhXkiM2BZH
bwdqS9Tdp3qs7rTu2nCjoy7Ut0rO4qec8C5msjqM7h5gaZr3beyP1Y+01a2zjgc48qczW6zaEIsB
BgLEZ4aNskJUXpQWxhxaMSbJ3VKL8hfN8fzEeZbGe5Q08Z3Vqr7aj1MYezeQxP1P2FPFv4qunzE5
g+XsQgsuGuK/yiKOaCmx8F7leuBqhlVVxHQl0E7XiA2QIzG+DQGZStrEHY5pxPnVseRqhojnLfsx
GTr3EWGViHeB0yW32DAv3bal1E3vWzqMXdFLfLd8q244LWOr+U2Ij5ucIB4Oz74bxPcunca0gY7Y
/RsqWz9XEtnVvfHHpjwsjd190Nkk0282CMTyeQmHMT+Ybg479igqkk2h68GnREh1e0xCzd3C4Sc+
TwLX23XmZpxyFPscu9yAPb6idE0tbrSicPfW2LvWBq1C8QSAHf8urcH6VUHjo6/rmSZCHezzH1Ze
UCFqQXbBgZmRiklBzVLKp2SKtk6cnEdeRsYQlKhmbxsQhWJT29B00bbL1N2mQlseqP2ifxZTxPBO
DCiFqF7qdNlMBSrTbaZj+IQDNmzyoCwYJPukX5xvuodRRfpu2md7W+ngpxr5U5s+6HE8Yh73gGoE
qlU/QYs5u+HA5enyYu6OHtj3LlXzVMN4YC/lCOKK5muUDJbDmOfsQNhIb5z2NdhnzaGQmx9oiOUH
6BXOT071QZ25VGm4A2yso48isvsKbj93dPchSseSCQ4s02Cb5NM8cv14cXoQTuhQZ6uZ5hKae1Fu
LODx57KO3H4vZ1otZlphmd9FDiEqaPuCsn+0I69qN0M9D7fpkBbwTSFH0jpJJoF3CC9KG1psvDD8
z2VFsqTbxf10sATw9gqEVRycKlM2PK8JdQ+ijTbZYAhU3HhJUbsPZE5EzU5ZZximHfz4kT+o+A7P
mOezWpiTUa/NIgJSKJyw+iiDiaFHvwwdNF8s7VHFjOXcnohH9fOtb8NQS9HbwcXHrNzsOePs4WBF
EFghR/gtpyNg+ScI6jP1s1c74V3Y9EV3PxJi2qOD1AvsBRs5BKOLDs1L2yO134PpB/qJP6oAv0W6
E6zHwJafg5LB7roSMe2ujiI/gIxXcBj7EZTB2e6RnQ/QB24Dx/L0rkD0cJOmbPoP2sY56UCfDkGf
HgsSnaqFFTxn6dSDhxbl+NuDiLAcabuaaW8x5pUn6PIUmqpI5Q6qe8ZGSuL0ri/FCDsVjvwn1FOw
v9inZfZE8en/gvKYohvWYV+vkXQ5dKwYhEafVB2FP+AZ6XlXYeXp0UmQzYdiy9XOrs7/tJ045RG6
jrbW/HLGqhlX8GmTOzCiJj6R9JAP+HGl7e/JiUC5AYPg/deYBrKB6oK3HVO4Lzvb66vlVPIph5vM
jePHOMwTFBqaT/kLt3OBFgBmQHgXwZY2J4jlsdz0KXJUyJKMcTfB3NU3eSaTYA2CZ77WmE6le7SD
VDJ9nibVUTcijU7CiUvSNQmGQKDDiAn3zBA8cBUGzL3XTea21dexTPnKHCfB1BK7NGIQvMLuui1o
t8keIOritq+mGXXK7FThA9FxJbfukE1bhgBusM2TEYi7sqT5XITwm/il8xjc8ZFBsTg3cx/t0BX9
IVsMlUugDUeE8hAqKcS+ZtOKlqvfl1WpbvtJIzvQwAAcvmLUd2Oqlue48eDLtYDy/jqXAVM3P7Xp
aZxkmB9z1uGpoFSI+YAJEOaB6CJe29AHvK0keWPc5hJd4LYQLghFGYLrrfoGptVahY6b7qHjpGbn
xCZ395PFsBRPrqLZ2yaGXlu3s4wPrgpi0n/jSJ75Y17y0HVjUMJxS1X1sORNXHzg+y3VMRDWOB0R
UgAXZ27/EGmUtOuyigYIozxEanHsqxy7Ev0dDkGTOflVU9yHM4L2oz/jOgL9hXBjJtyzgf0SJL8X
lK7NkfEm7ROQlB/bj7nlmWqFxVrqstuSJdvkXeSVm4Yx6s82Z5S/1a1VNuuaHF20QdkSfmjRBUw/
6k4yI4up2NJtADlE7auBadehGhpN5Ug8wm/JFYnGQ5PPtLGVkxT7oXeH8bETZaoQ92XzFz3i488S
ZEIjWJDNjSmn0N7bHbzXVb+EjCewfOBgL0L0iuBQNTdPnkKFWU2pEvyhQcLcA3Aug65sW+ofP9Jh
sw6dKYrXpplrsc2xtD5OPsfnGrYlNqfe4qiG+2tq2s/tEC6KORXpSiVFE6V1E/bz5zYNzIeQEY+g
dIDSv7GJGk/WAmISfOcyQvZcYN+MqiPz2nHlBbr+wSiEsb1f+JIe1o2gGvJwYjAL6sL0AJlcpFtH
6gWoRvVuzBQMUfEW+5xQ70QD+H+codIAWhXQTynBUrsFDIRet6n1GFvrJG252wKcH90jcd21OXhT
bv5h5oAYCzgoCbdyqie5Xcp8/sxXzDgRMea8MmIuxV4WeNFiqDC4n2r4h+Vt6Y9zdwprb/jCB35O
6Bv6cJv7ZfmP7OT8G7pujIKstmY4YYbiWfUwPrk0DPqnKgFvt/2yY+KNqM7fW1O7NOspDIJl20hJ
/8R2fyzhSP1miO5v4ACetUgg083zMg9Lwh+nqIVH2g2kJUNYPzCkqikPJzgvRyr30VCXN41ZlcHC
qSd9LB7WSG+KckuIhwf/peY02kwRtvAritr56+B73UdZi/bblOv5kGFTFJ9qcOobjVPaWcQ6Ir7J
CFKBx6vx/wfTCpLbGg7csxM1pqC0LEUFDZuDmy2v62mLp1UAokncij6Y0TLpZpYR0iB/xHkjMpAd
9hVEPywdrNrASDBh8UhQWP0Nu9voKZ5T65voCwY7ueY2ucUbK5NbgMrBW0N8N7c6mRCSkLjjQoSy
CfWTqYYgkQfOeDgPQRntQboHV4dhd9e6U/XTJv543PaTixEBhgpoxrUpQ7WfyO/wQQShHD11s/Jp
8Lh7iD3X/pcWLl6MbiboFTZDgffJg82cMKJxpk86X+qvyk2JnZKijH50nHrTNgN//llbML5WkIzD
aY8rvf2DLYFzKG2KTV+kx+kBgwn37Ji3eC45Ik2ablu/b9tHcl4aSNVyEb9UvRR0I8zhik2pcdPe
hIuuPsa4/8htXfXhY4yF1D9c5lptrD6bHRppIWHWFln2s2BSN0FBrzV9zTK6sOxkykirGUroRIuk
mF8qNKtwY03qHbRDc7aO4N0DHjl4MK9Ugz/F2hEREw13Cn08KmLsjDoGNP0+Dcsh4Jof1bOxxYi+
RebeQ6hDeiGR+PJ5CLTj7PtSTx+SOAuzGwVx5bfSQ/zcWhXfcs639QciXfoNjne5XmONFH3RZZkM
hzpe0GvoUPsHy5fOeI8+jJyvwZ96+JROLOeTUbBOKR4H0JAyJcN0lXaT+jaPEzSBqfe7YJ8ylr4R
iPbiXUV6ik1p1J5hYwSR7n6xlvm2r7uxPzpI8PyNSmlaURyOvr5hStrmfIQ1f4XVlwDR6DSTlBko
nhIbT3RJdV+EARYX7F77c8ppUeyhbJH1ZMl0bp9S1SePaTsvvwRqh+MkUFWe5+QzcsShrMMdrDxv
QZxkAKz9QPnO2q2oAo6Fql0bKoqF55wbR2m49/BmYCjvuWW4mVzqyz2IfCS+T+00firdwWp3iBrV
3dKFebNXWEJ8i3s6C+DVKn+C0FmMq9HjwbENcCpYc2PitjEGankqs96bVwAJM+zdxsKHLRQKNktv
zbQ8dPtzeAjBKLeOPTHhT+JcuBQuQ/1P5xiahA5qQbfqRjW5dDtL8CHvc2ntJAKCX3aWSXV0R0f+
2y+VlwOtKPsxWNIcyn1p+udzhDRkEYT/lApu4XunBaIlUe+4hjwUeFdBZWaY1J/mavCWHWLz4tEA
gHNr4ED6Y0RAD2huvPaHr/LIOvbAax9r9AnJCkl0fN/BIk6YAVXuowAKZ5fNklmAM5dxcIf+MEbn
mTb+QyuybNqjyySE1zlPZGDQ1B8t0QFM2YXjR1uvy2o+H6vp+gd/DKdwO48ZUWItzu/lgeOJisvP
BYG+bMeM6KDJpBn7SeMlEhdwR6KQ6RgnUWfkvnJcD/7OH4QoPytDwTa4ptYz+u4br5wGdlwOi4nC
KWISg4dLDzVQMLP6mTaR/5BwveEOw0XyXSHvak5xFITO1po0+AOAxCi3Go+ReIP0Vj85wSKgvMsq
yomraPRjF9Wc8m1PkWflNepYLHHg7QFcMJBbMU8I5WZJgwp8zan0zmYuBcepiKS37pm9gD/advlE
kUYhN5a2QOrWckztF0/OD5ngDF0NM2O00UvicwndgDcvg0pAxso4WscTPODVEBCmdCMrO2vPchRK
yZ/0NFrjCOI5Dzxn7hLPs0kMQ08/f3Dx4/oalHWL+UIk4eEvMSfIDteurjnZdDBP4ahTZPheFUMR
QlA1rMoEOvodsANAWFi27pfApMFjFy7Bnc2kJrhxS7XoNZ4b1rj1/VHkq2UWar6pQhf/tKmz89+k
D1bfrKgPvsyQR5djiiPXb4YfMYFmBRSIFajigCt4HYGNicDPb7GH5tCV7hD9xM8o0ntM5QhLnOds
VrQ/2CIcLV3VD0FUCxB4ReO19RpGfbyGqEDH5KlAHrQFiR49vlpgMzZ1wwyiNGLjFnm9Tgkb9A6M
xRhVwI5Jgo27aAN5DaYz2Rtp1hdPaB76xznphw8yL1uOaQjtLWz8aPrauOf+BP3IcMKLAdqYSXM9
3nDGBfZHdiNCCjXLYoCy5nliGwaAJQhB4a+taEzPxvt2N94EZoIr6VkebpkM7/K1MqGww1VKxNK/
NRP2M2UNpfEK0H741gsDA5w+pXmKugrKPm44NyUsKW8bzIzg8G0K0aMFMoz/CeteTBso41i/nD0z
nNUC5SPYeeAuHYYB0v/qBU70Bav28mM6xXw4sVt0h1mVts0YJnJvEOiEziph02D9T72TbL1U4iox
x7a/L/1E3jKV7QrSuIG5H4o+g5MDUO196nwztKuqlw0fAvSfADgh5MZ0KR/b+yWIa38VYlblrVtR
nFXcIXXN1gpF8qzapF52NYOW/pE/dXpquJww5rdqHwRVebLbLsgN4FNydykel8eEM3eX9guWT0x/
ssxUv1p/0M1KhMpwVWQ9yg1IHHBG3KaDCRiewxHWiQzyeN/YE0wfTHGI7gANku29s/jxJ6B+5d2z
ETM8Qx3VB1tRe9xpgP+MzsMetjWgpVeHWzsdcYThXx3qLfbH+BYkesEKDz0jJv88WzRXwEcAr1g7
6GTTDGOX7FosbSMarGi4d5zBPpsImOhuWaRlPoaBO3/Kzx8j8ERCl1uVvvpkwwDB3sCr0puwMZnE
YcdvnweGntM+R2N/n3MhEKdWEAsbMnYquRr68XuHNfS/OCa4t66Vu1gbaROYdehCoj6hZLNxcK7K
6Yg7kXdqGiIXVwhbYEUsVFbsV/p877sAEP0qYGhSNsE5AtBEvqk/KieT1XZoBoXTDRfyukVkdMSI
Yqj3/LMoXbXjhPgmc1RlbyTKonxn3H7+nukRZHsZIj/cOHTA+XdAWbNF4nuGdGRD3Ux7Z8kDhML+
NMgBHMkytUddoj3/B9MzJ0OEL6Lz/YA7NHqJbJSfcGKzP06tk/2y2Cff2nwq7yI3nM+ykYAT1Avm
4hdCffusUBbAZT4mdv9GuUWYHfMXNa1m7q8bn50+32Runj1aaZJ66wVecLLyNFSDZ5wxQtRu5BCj
TsOeGdx+oVPknmHYvOmmanyakmTpnkrGdeim/Kb7koNJQg0lB/YZhsVo9tDHZA0LqOCkJBRSe6u6
pvE8jHZptd8ZjNvF2hnjuroF1yhPJfXVsm+gxTjbyA4tJA1QuDDpyafoA3WI812EAdVnsUAbgbPd
wYFb7KTusNMh+WFVM1cqgZVlleyXxZ9RlBUZxXOlbJ89FxUuZTIH4LTLaeE4BcpWVA/QXNN7xDRN
cjtWmQcVyM4hXaWhLGALJ2649cCSK0rI4TwHrXFh/IALGtJ1T8SmOMKSUXINLyv4gQNXmDxWvdck
O6IwnGLbOP4IKdM49T0BznW9ErHNX43QxnFOjoH+DUvbZPtM5Fl0AiAtqduIJxpgZbWz/dyZyvqH
brzg6Y6l/jCr3IV6OSeNWmEb2ccfa6hfOxlOc7/NnImOf3GGFgKsDModrLrkUeB0hFVUWVbLfVzX
kthZpDYEwMG+DfP7/4EZqKwu7sajMkN0wp6z0neDEwf+atHzJDb/4wSycSHF5sclGEjKEnlRFVju
uEW2HXEFnnaw0O2S/9QCKaFMqvlQNXOht1nPjTX3vDiEE+l4xd3zDSNRRYGDvSburvQo53/+d/qL
cGcGPVV/xDDaXguvlPBC4O869JnXzKHPRpsXnpCYhICxKqwo+f+F52VydgtF0dMfe2wSNgGmR9tY
OeZ+xhxmDUKkv1vBQj/hUwcy04Z7VlKNIwRM5BX3zbeMIrUkOp6xkCaW6cIS1GJLA5fZ/bHVS7fr
8cPEJjse9u+bbr7hgak05nDGkedUB3lhummFwLgzbcixD5qPvMDwq4Rhfp4tWkfwA5qoOkOQ/f6i
4s2njAG+gM9MeNBlpkmBBHIMAB2P4zCIR2gMZu86wlq7DGR2VF04F8Gv2eatWjbVmNYrwk39dTWW
10J539pa2Hb9vz/k7En619bCbanRjeIhD3mO+x40K2NEfINcdLh9/ze/+TqhaxAIdTZ2f+XwqiaV
abfpj4r58V4a6d0rbOOueFa/uYp2NU9LSohtF69zgJ/SCxiiR4d0VtAp1zuUY+Nt3/8tb26av1a5
cMaWXahgYU39sUIUfSShItwapkNfceIqTkkDkZKab7jyPbzxqoj8sQkxFbYmV/jipxEg7wM0uv1R
44e49aq5u+/TMcC8Ddnf+7/vjacIFxRWjYKuhFv9hQF6j9kSfJCkPxJU56Cf7ZTZQZVkeP5f13HY
DbYk/UbgIn152EQFxzkkFnZf0sr7cnGgii5TeGVPvPbVZRXKSOlqNJKvHGcxa4QX7rHzAuwWd6as
nc+BP1nTaYkT5wgOGDhXotnP7//lIUoeFZGSnF0aA/nLve4QdaLxI2qPlAj9l8ijzbCSLN1OhQqx
VD57/aeqxP0tcJwrxrd/8gMu1tZ4B/sKz3HXEItz8UUzdUEIFi/HbrCUOKYQfbFeci2fBrgqnPI4
aHiHx6anHjswFVA1bYrwTn2POmGX2n5NXxWgKWZGj2+Ll+k5XyOJCLxDgZwWEkGODyiTVuOHp1x7
TOEr6N2rDEl+viUOCoZsjucJTMFscT/pZpHVlePz9fbE5ZqLwYUx45JdcxE1L/ysjOPYmY+RSdUn
jKLgMSyR/eH9zfn6ezuvct4vnNCEI118b01qpS4zjZlRFTYDkTV2iAsj5zhWS7t/f6k3f5CvfOO7
WChiy/TyndlIVRcTapYiL3ubuiCzZ+rgla/6rR9EyAUJclK5CqD95SoYSPlN47uEDEImWs+th/XB
QlOHZuFa2uAbHwDIpg22Stejmcq9XApuc4Fu0UzHkAapXGX5iD9UP54tjTAwdKJbbFajH6PfQ7t1
MmuOrhws5//+xUdgWF64Gskqc4GLAww0Ncl7t56OwCUWEGLOvLYcoemBONzUtZ1slCyvhZC/8XwN
CKBHUhnHDMnNL390FVRxortmPiZWTKSHGrOtbvpxK7G9+e+vkqXOOQkuCR4ESb5cKlQJJvIpezNx
p2fXmXrUXcx6lXTzKyu9+ST/Wuli03S1hYVMn8/HjiL0Ce6Wui/8ckYa4wzHGpcTZrJG7d7/Ht5c
1GeaKAnSsak4Xv489HA00AZBRwt54ydfTPgrr2heTOGIu1z0zo+ZyevP9xd96/W53HkuD9U19qVf
OLK1kKFOOh5DNC6nOkdjZbkoHoComysP9a2ljHJcuHi+cHAkfPn78J6mRR2r6Ti6mIKPbo34KB7+
7afRv3ITXa5EYg9HlzxffjxKdRkc2bm9SE2XgNvmns2jm/MK3auGoJq3jXPlCV5+9X8W44QByTF8
APZFMYkzsFnsnMX4Y7DckYgL9sqzYbYGTeTCn0ISNsHf2Yy6bq/ce5eXPGuTko05B5ZKNnfCxSON
qiwUGVP/k0rF2cXD+iedMv833JGIu6kfmisnzOWRfbme8/IVNvh+w0bv8T5C1ZpBu+vmn/7iJJv3
N+Wby2B0xbfgcoyqi2XoWPKcsX56gq9j3VlA1yd28Lf3F/lzYf59XP75MZxbxNFyo7ItX/4Y3iZk
IZrcE/fbMBzcCA/KzWwlaqMgnIqNpRDuQbvoFWLlpkPeEFMMMtZPFPLl9/+YN3YskZY+WcZcHgS3
XmwiG6x6Hvs+PdVl/l0yhDjMBmE9fJXyShLBmyvhseoa7ESlfVkp2YHbyKTrMkqfvPzSlXhtJAVW
HCvw6OX/sBYvUQsSbmi2vIsnPOQkW/ZZnZ3gNCwfK9zRH8h1C5hLX88COW/1y7cppHHpFdT5y78o
j5bShV2AheTJa92+2iLdR3ibVuXPxgaAmhIR7ATWxXuY5zHjdukNRzi0vViNCpvs//42qdPoJMQ5
Ssi/gBPmtqmMJbz05Kgo/No3s1h7Y9mcsiyct/8/S2Fk8XITl2gcBgaj6Qlvt3hd9n0NKbTO7y2Z
T1f26OX9dP5eziW2T4oMrGL3Yo+2soutFrHTKUpFuVY6kgfys+KjP3XpHqCb5Ogo/M8HjrZhuTNB
calFhXc+Kf7q1CcoXR1KgvwUTcF8C3rmfcpQ6/lXftrrc5Rl2Iykg4EA+f7FMgintbdQPZ2GAeJB
TIDDXYvnyZlQrm5jnPX+D+vBT4Fdz9EjkUG//FkOYh7G+UvOpA7NPg4LwZ0Dg+zekRAlJyqbK1fv
6wMVdEs71ISew3GnL9YryINApT7kmDEAePeWSPEEwnT5v+5FqIBUv4ID2vFeHduo1VWLd092OjcL
v+q8hjPaRxO0y/TKBf/6zmUlVCs+d570uU1fPj9aFMYSUZWfyLyqfoEFw3nSne3hNDppmDNpevS8
efoSG5vZ1vu/8q1nyZq2g36BOLk/oUR/bcn2LLwJ0PmfSq/Ux3aaxG08IQZ+f5W3duRfqzgXv9AN
Iny9nYId6XX2Y4hd8q6K5nnHJOGbBdS8/+/LATiSJSt8j+Pz4qTGLiBZSA9DezhX3boYLRyFhSXD
mxim0r7l3/nw/oJvvUGXkhMQzj2HVF58caqVIhixkzg1Av4+5t7y2SyWf5B86B+tECl12aKVGSrM
rq+8QPH6CtRcf9i3eD7b1REXP3YiprOHPZyfMPbEpp/RKLUMTLpaQB6Jik8VeQScojZMEwQHJ2iu
1m29LPg3oc39Sj2nfkgnY7ps4PnlK0sEw5X9LRw28MvbjD/RR2lCK+6Rm33+539tMoSsHiMENztV
hBY8hWmZ7uhXg0+I+BAgxuFywIoO/U52dunDgQM2MyyucGjNXVbq6MpmfBW0xdbgS6N0d3wAY8e+
+HM8OwmHuBuKE0Fi+JpDFQiI9WKGehrzs/lKH3k4ZPiMRucdFGdkcWaycPmIhczMuoQExlg5aJRZ
E6s8L5tQdFH8mCRNq9EnJihOYE4V1SaOjBWup67Bfub9/Xa+ci8fKFUeNQhHAgqHi8sLl3UIbLBC
Tr4TYNCEZ9SuH2f8tHrTkNScVXtEXjgXVmNBxGETH95f/o3P2XMFPptkTsvXHYmrNYr/yClOZmis
h9Eeup2AN7YHafHXrsFk5v313ihu+ZjJW/doTDxSfy/ODz4uqwhDJz/VkOeOc90YEgfkVxdmWw1H
fVmqFUSTmUAm3GTv69rLv8DWna78Ga+euseF43E6KAKAX9+rJaNQGEP4c9WZ91w3bk68ALSHArMJ
rHObHGFvs0AXwzEJx3/v+P5DeFWweNzphskR16w5H9cvPyJ+mDJNNinS28toW7aheUD5NdwxdGJG
6FTkdi/4y7y/6J/T48VOw41DgsFzQWkyY72Lnmwy/mISO/GPvlsggMFeFY3QWVac3rje5H+xksSc
5JL1kAgbUz8OfWWrVZ73RKqkvRs+gLPY1gElI66xC4PKjwWb995WU3JC277cUD041/qPV/uTP5qw
Pu17ZHACB1w8KtIrpgkXBXPEqvcrjAJMdDR+3q3nuOuudesrVesby1EXKxBwsnuZBF18jXGI5VRk
j/5RLcX0FGiEyHktifqeQ+unqZtP77+T1xtBEpRO+aq4aLxXfYhBpTi4U+sfscaROHKlQY+uCMtV
zL2IIPOaA/SG7sqV+uqW8SSfIDUCfSxDmcsvEO+EeqA38hERZfPRuDWO9XMKx3fEzef93/eqJGEp
5uuCIMxzjOBl9zj0ML2R6rPlFFLLDbqzKCR6wQ7+eX+d168NKpfHiMQ4NI4ML15+UIPH1xSgOzqi
xDWbxM2so+6hT2KOHu+6CoL4++u9Pj4YZhHWBzbF8UFD9XK9zhlNnTutOXp92Hzw07I71J5dHEKv
Kk9igp1mQQ69NxNED6K+rCun1+ttA85Is8MM2uH0vmx4MNb17aUT+phLO3hoAhLINKUDq3qwSdCm
cCljjBZu3v/VrzcOyxrb4bKgQHpVrPdM7MPUc9Ux0hby3XpAjwuBdocoPLmycd54oQCqFGGAR1q9
gh1CdBooyAaLz97+jFUVOH9sa4RwuiB4Z8q+vP/L3ljOcR1XutQShi//oowoQ5GXgFl8EqpB3mhP
Q/sNFm58P5U5ArhxHq/UUW8uCFIqjK0VgPjFBpoxrR5BAvyjGQvzEZqHvcL1SjxrgcgOQtfv93/f
GxvGYbueW3+ONfbNy/3aZ5FFryr8IzZbwR2E0Oh+TnvxIC0Nd5b4meNiy373/qLn3/DyvuGRagSa
YO9U75elYk+jrs3S+McO7/hwH+JBV2F/H+l2tQi8mo9lO1lMtArxo8wbUsPeX/712cPy4NXkd8K1
e9X0RRCGR6U4yiFUid2MzfQBtVl/BUl6axX+64w1uMf5GM8v+u96OJGyDzrjH+umdr/WTNpO2Df9
Z9zRYxCFR5GntER9dwmnEjUBqZ1x10lD5ty2VotJQoXTyftP7I3v+8UqF1+BgYUfjqjaTmL2223t
k+NQBtJegTpcu9bfeGyMg9iT3Am8ncsDOyzZ9ji4hSfd4bwncDM4yt4EVw6sN1fh1WDR5IB/Oxcv
Z4pwYIQczWNr8uUopnQ8eSERrv/9sXlcBIaSklvusmMUoRBEUHTYECTFF/IDMoSOWCDXWo1XVqID
ff1NSeAgrjrf51y8HE06eT06U1wkJzgq+kHDzn8epKUeyEjEnqaXaHw2cRFD7B1LLN83YYwJ1Zdi
8PrHFOmPOpVzhGERHinxASY9IQYuoORDRFrA79QJ0YnxSU/FujETvj5QjSDyR0lv/7LLSOFsJyLn
SXeaFJQCWI8MiWRw7yKTI8EnmCtReB9bJdxgK8Z+AWPbeO138eDsMtHVzieK8txeeWG7DGRS+uRO
KiQoyabEyCJcL3D2i9WMBu5RLQga6XksneES6HKzMZs0/7gII6pNNiPiW6XN5D6auac3askyWVbR
WC8zauoFanqLBQ0ts7F/4JqW/I4iqT84CBQC5BuJH6GkF9W/bpMVT1mG2nlPhIz94CJPJZ1CoWJf
2T1SnPVQ+vXXxCoQ1zN089ej5+VmgyNQMMLA1tEnkrUXXPggc29lQLTSIegndVczUeoIU4gbTALw
EnlOOnO290eJTBpqlFp4u8gJ1QryAWuXiri+zacRVe3IkPt7HCBMh7zcnGO5WtH4u66BQ4iw2SJT
KouhL5GEOOEW0zte/VCUBINsgqkjUszNcnRjSxvm/yxRi2lQ5eka+UYUAgZgmVmT89kZGHwpnOVN
HBvdr5OS/8H396oH2yE8dFMHlY/akrLN5iUpCwSi4wK+nxvS6pgVzfIGZ4ypubOcfG4/YGdo/1uU
i5B4vgiyvQZiOupHh4BahJslLhkhmJVFHlnd/Kp4zwOeuCR4opUs8LJ1SQT5sOhpxDCR5JoGewyn
/r0sJouODUvyKhwyzFdebBL/ER2NYz/g4Qo0Q2PS3nLWduGBECWsiVAV6B8W5HTocMmQJ09BGMXl
/fsf++sjhfOKAGMN+C60uGzXscrrALUX+8jF7n0bwqD7wq1yLYD71SrQRQx1FriosJnZn//5X7cK
eYMEapGCeyJWIL1Pstl8R5DsX6li31zFlVAqKJ7peC6Ox3xIrYA4x/Q0cPQSA9z0mJH52eG/PrE/
0IKheYMg4l+WOiquhT07Oj7NXTjeCNkGW6IPmyst9Vt3Fy48tBoOpal7CVzP3FsTHJHoFPcjepIx
W7Yy7WGDB+Nwpa55aymQeKAaQdSZpy9qtyhb8F5FJ3ZCWIKjHL3aduridE/f2F5h6b2xFEUpLAaw
rTcmG7bTlohTausYQKxdE7eQ76pahbeyQxH/30tuKFIuQBpoFJD8xZ7rPFU6piaol2FHv1WznW4J
hspwhQiz21FAS7my4KvtR7UEWs27YkVmUhdFaYZXt1MORXBEboAbUVvUm5qD6Uql/aeUuChDaegp
Nj1SDs/0oZffUhc1OlNYPEKPwKEUT0R/DfGGENSRrAs1Ou4vb2jSg5phpeTqfzk7rx5JjbWPfyKk
IsNtQ8dJO7N5b9BGcs58+vNjL953B1qNxrYsW/bRqa6iwhP+wc/v0Gj4weFMoDAa2akvlNbB07Hb
OBZXQnLq1rJBcQNo2CpwpKeUqBhVWefaKDp8Ouzga6KUYt9A9PymjYZ+JILN3751GdQi+8fsnVRn
EeF5XOG4Z0fWuaXK7HqhXKIF5AMLaCVz46KcL4/Xy04Re26EEMTQYV1eYeNkVXmqF8oZeV2w84E/
eOGnShTqCepkHX7Pe++tiB/0qSnYm8AqSHNAGC7uMz/TEL+uO/mMoYvlVlVY7T2l1vcoZGxd0Iqy
ausyCMkUf86TNJfZTdEW5WiV9JRg7+DTVIaDcVCEj8AyrgY4vmOhZ/6JsRbihU+aCINiLTUt/I29
IsI9rzM/KrTzfJfiX+i5Q+9jXgk4eeCdzU2cSFQF9G8AaR+jtzxXnsIwgm0UEIdlLmwMLT5Ida+/
sxHdjo84ojffIC3Wv6Ghp590e8Tnx6Y6b5+Fj6bMvcqVhVQHzWgeVHtQfhlNpdcHCwb2FzOXkRqA
9libezSwhq+ZZvkhmOCkng4N5izIACMtugN9p5tnsioMvLHXGy3X6AxVQMiqCVV8s680V9eS0HYE
ejON09aN8Pbo1jYD0H0t/ZbaaMECVUpLCJ8K3R43hGeIa4ZmV+/rusMsq2ks4AxDH+GPk3stxYXR
Qu3Qyc0ODgVhVQ520zaAhGsIdMpwwHMjdwoI0bCOYjX6oYcVuiJEAfFPn26YdoCdaX+RCgt5Y9vP
krtatr3qWBHpIBynIeh5aEet+RGnspccWn1oXuS4aCPIPWGOfpM6jAkU51a976epnyAC2ght2LFk
dZCjVeuL3ocGcSzSY4mT2vF0FwgYl66Vzf2qDk0hHEhbL//VeFA8kaTXohS6o4fCSyLU4t6yk7hz
MuR/caJEM/H3BMfrW9wg/G2MpEl7JfGHemeakV+eUAcQJwhGCKS1dgoGpM+kX4oBy9CSK/0bdGDp
FHdK8qOt6vJLldUNgvTdSwfZo0WS4pR4qv1+jNUxQrWJ+HQ/34bg1GAZZ7jmRd1vPnr5EGF4IL8T
yWTMyqVdmzxPGV2WA16ToFHx3xk/dOHQIniCnD4mDmOo7jUvbXCfL0L7CUUGqXRrFoYeioFGUmop
UXBGHsnD60VVi29JEjOsBs0c8X97EvHJxG/zdz4UdumSNSK61AVEPm7STumzP8S6dyiFj4WG0mjI
dmY1Xh+wAkDZIS4go3/nwcvs3ElFHPpe+CQOKCxAAXN74cGOCKMQTfUBM7ST0SWTfaI1YcfnAdXS
JyS+NE6D0b9MyKk/oC4i3uPE2qBy4TcIIqadkXykB5eMfE2sqPdlY1n+sTbV+ptPHzbfFVk5dd99
ZeqRzbJLmcwjHvXyGIR2/iGF/Ii3VoMSsxNAn+tdhAPT0xDKReVyCSsvjRzo06ONtsLXKjfsHyY+
FdLdMHWiuQsCn/RCQm/7DtXDwEIhM+qB+wyITqJjbzVPVazCCK6L3pCOowSZ06l1z/5oRPrQvzdr
RNKxW2WHcz655J9yQojmvYx2Zf08KRnGyW1CbnvhqygfvGZqPnsB/Y6jlk3FhyKvysm9HQ2unj0i
2xlNRKsO+M0qGsS/wdLweKLhX4bO4A3JXpFbbZ+EledOE/zdLrc2Hr2rQ3KbYEhtUNLXFo+emdMb
BMOQXqy07w9NiB95UVeBS32iOpuTGbqdFo0bqfoquJnnCRMZEBywn1XUMVOm+wn3SJq0tfepVWLt
meQu2FjNVXz4dxTYGTDJKAstq0/drB5VoXh5gf+ER3Xkyw5MlfKl1fItZs4cJr16z/8ORYFVERRI
QXu/DqNId6iDwxLHJCTG/K5voV0myPqxsySU/xsTcSn46skhho335T9smr8tK/riVD8WY2Pq3dtQ
d+nJx4Hp1EVjUl/X0K+YteYQv4klhG1y8e32qFcWd2ZdgBmh7yaoJL6ecZqi+Iz3RHKRitC6x0sH
TyZTir5NGbzItw9Fj4QPaAO7IYp5PVQgWdiAz4s7TVqMgVVcH2U1zdwWK+i3FiwpA8sExHSb5pB4
2XtUIUNoiDIBAcvkp5DI964qkRm9PZ9V8EdwBJxnPnQwVyjAvZ6PgY4QcmBYiemKCWfWx6N0b6Ga
fAgx9trZpPIbucT6W1FghuIBvWOmCCy/VS+CSQ+aLL74ETuikYR6F8NZxjvVqzYW8Mrc5lyZxSO0
hfew2IxwAqRcrUR8Sf0yPZUYY+3xDmvQKhQFvN94s2+7qvnNxXMuLjJokk19CToFXaEbTdjHFyTh
khHLxaKX3FhRk2dkmafqtyIjtrALkB6hLRsH47tsGPznLhhltDrHCGqqzuY6tWbVTBtX6zzX15cC
VzjUD84mvCRzeSl4GrQuGMDxRcIWChNa2XtGSKt9ub2bro8CQnvm8NC/WJwOW60oh8R4PdetUriS
j2krEUv36/Yo6y3EwZhxW0DtYMYv81+9KeDxCACLch2gk1ZAiNUTZN6adqie3j6UDdocPhcYCNAf
r48H1um0z5MhvniNEj2MQ6I/e+nUD+goD324cTTWq8djC0aRxijAixXApBKJavt9GoH5nGVl1CBE
9KRq9m+eEu+PblGvAvhN4Pt6SqOBzSpV/OiSJ9I3JI9Td5BS6Fxt0G/shvV3kmmX0xmk/aqyKebz
+U9trGtLvS3gs1Cryqd7SGS/4ERlboZk0NvnJDQE8uf3m/bV8qrUon6qu8CMLyp2zbsuo0I7paW0
U4JiCxazaijPm5vJUIwDkbzCeTZguoRW+ryuuWhPfluZX209kA+JpFif89wwPjLl7lzgcYIEMTC0
jWz9LwXn9UnmBwBYpFZHQxtu82JVO9y484IXaGzMEsGDLDTsnVoKu9ib0Cq9HQZLsvlcoQT422qw
r3Qbm26Dk2We+TFNYkT9iyYwTFR5JAQ83ry5BL0V8DpcAAoE4dc/brBrdCMQPr1ofiRfisnQjhTk
pWM+kIreHupasEh5RKEpqxDkLL95mbYjYR0fAu93uL8o5TwamYG7ew8EZBd4dAHyetqCZFz7/ABG
QZ7M/dIVha5B4TCnH5tcNEnS99XocZP3pXFUycePDV25jzItDifug6McTBvR1fpBI6RTVJbVAGa8
usRN7OeCEoH4Synp+UdZQQvej1DxgKYVx7scSdSNqua1NQbNjDgn8BPqf/Nq/HOCRR8IrNvhNwz4
lnxCv0tySoMtFmMB+4CO8jTXPYq3h1ji/wcloHs9KFryXJHIe10mFH6Pelsld32Ju0lRmvLx9h66
cuMCeQAeOV+82ir6AQNctlZpUVcf0MMX1HafhBdvPSLziVyeWApCuOtBW1dWUCU1aDFa9JgQDTLl
pYioDdednjmt1GnyLh9S4xgF/RdJrrf6Bld2q4J2OsATJscHXLzHZgmSskRv61LGSvfDV+m5MV6F
DwASWGi1jODgy+ciM82f6piJ6i4ZumgLGHxlkRWYKdTGoaSBElk8A3KHqG2fZv4lQf4X3CY2dpqU
h+6bPyVUlBlYxAUkr+LKZsoHIl1q/VHUYa7ZD4GO02mBDM5/GIcyIkIGNpJgy+cTRMbQGCL1L/UU
yujFJf5TYjfKxihXtgyARxlXBEj/a8qpDD9X6VNJQkUuzRx6tAj79PJEzahUHq0CTVnUNgB1gxx7
e8RDdmj8ZdwAxVg+2ngAiw5fI9ozKKkgfiWh90NG6bY+TmdvXkpKslxp6vxmrBDKvtr1Cpc3HoaW
LL2relP+Djku2hjlyh1GFYOfyFA0A5cx6RQicikh6H/JLSPoEC/yld86krOoOg5JZR0grEAozHHI
izZyq3X8A1BpZmPR5wIitcSeJVlX5ei6oEXfUy2zg7hyw3EqENiWgvPtpbw6lGZxucD8BD+0OGO9
XIcJOLbg4hdhjnpRg74IQq/hQfKyLZL+tbF4EOamGrCvVT0dTWy0xT3Tv+iFj2Y1b5JxGjsfm7A4
zBDeevvMaLqQToFBRm9kEVH0FXYs6JKFl7jkcTdLvEpwndUR95G2Gj1XLioIrLoJVg+yNxCz1w+P
pcgYqygTuXDm+Q+UF8ejpPZ/bs9nDauGvwqQmYgFUA3No8WEcrvSe4OoDa3XoNgjMVk99wg/OVmF
yN4QNaVLrxcPwgg3Ki/s9eOQ4Yl7+0dc+4S6zFbhMQKlsmzoBaHZRsIjMu+R8jwniLQe1V7IKN7X
48YhuLaonO5Zv0TmAVjtTCnE8TVL+X5J0JysIRqPQ2xtCWJcXVVdnYnz9LIsBlp8O9mgAwqD4IIE
Mx60uWIecgyudmaWR04rWrQpkzyZpVFx7Bvb9BkTkTeTl/iyNLahnPIIkSMs9g+y0h1makUIlTbP
DyEFEACXqH4Bekk2VvXaBySP5+4UaA6ttmog6V3R1pV/Abhafa/bEZXDYai+jfj7uW/fK7PhF5A5
cqtV9FKaaqDpVcdQoYj2SknzVx1CeNDwvt8+FJwvHlYa1wJuyiJcybLAUPF9TC+a3VbvAc6Yn1CN
MnEPMgLj5fa05o+xCMpmOAXD0UOH6r1IoyROt6llfUpBpOkOQoh2N80UbKWKpKPAruzH7fGufDHG
YzgSN5rby2MvpDbyFdGkFxTi079mPM29Sjr2DriWt7E7VtEDjWrQvwBk/zJZrfm3/BO2G9FIXQxd
tzNC3IX2flZ1sP/g1dUGR8TWkRUP0qpMuXtM2duVKkrzGx/y+g8gQyaCgd621MEp/QB/OFMaz5Kh
NdHLVEOERPK4Lh98EsdjKMLo0Yz7+mks8q0S9OrDzqhL4LoQFfkLNYvXkw9rxKqnWJ0QcM4zB1p0
iFz4YKJWm5gH0CdvfqD+7lQKz8CgqdcuyRpJDFmW60CcA63O9iFcgL1eid9N126BCleRzGKkxfEY
FAXWS6GKc4Or+r4Z7BY3pw5F/TzB0By230EfxjdH7/OgEALATFJvW8F1mmjUOi9gegp8QqcPVYtk
Kd4CBXFnLc/jPA7lIj4ejFaq+K8/W5aOfdPChjhXXZT1n4gNrfCbXeax+r0w8ym+E1qg9MeY/5Gy
a8IKsXIP0Ww05xMovXutVuzy7KthjBx7kqBBXhhjM7k4+yr4B+fppO9UGYLBjmdIm9X4iiK6i0Dc
4WNp0EdGzKcYQ7cAeFye60JLOohGKJtjJmB1vwqN0u4+gEqMkHXgTRIVRxmvzTIezM4tg1q2HbmW
gUYj2Eub31dRVb+M8qi27yQKU/KTlWnB8MGmIvwR22KENv3Eb/07vbNwqMOx3v/jGWZsulqB9K1b
tmH8gm18QKbWI2MI5DILoyPPbPEY4TSX7JPOFxMaMKHxpBl0QNAwabKfeSy0g6Z78jO0B/NdxY+/
U3obG1Q/8OEIeVVf1bTvFFtD3DuKyvvKx4MbGF4afpIb8g4nwNBsYHqN8tg38hR9qSe87namQZMV
8XfwOTsbFHjxzYogvv1oktzTduiH2cGdjgzhiHeRFH1qxjHw3LKs+/yAfqp97BR4Mz9x2Anfo0Ka
xkfDQGr6ZOEClr8TOUfmZ4Y5QcV8pcJHtsCoMXVoJoV3oEYYrO7bKNkXQ9Hm76ISf3VHDLoVflfq
JFcutQVuGNRBiBqonFYKEol61tkngjgvPHN4kSKZ8O644A7boGQfV/J4gbFgWU4WZI30xCMACBgn
XxwpIPu03lejiIxL0yiYgkn0geSdqgXRF0mvarCdhhwPH5KpUGzXwm9EffLCSCv2OW2g2DERg7Y+
9b7Z9vdT2fbGJ0OVyvw7nGJJ3ilU909qpbAV7RIbsJ0WITl6LzUeNJhhgL61myhbanfVFGrRyU/z
ajgXtcDsEoVhScZWewTHoCNUXR9QX0T/NbEqe3RFpKvF564Ozf5zrYM83yWwvL77mNfVd3mYYSTi
1wFRz8D9K04j1qMD1iQJA9qNmj/pusE1aXM8xQF/C4E6pIHa75DWZeDyIbLKpW5og48tDFmL9k2F
6fouaqhHiRwjZWcqdOUbPn0eEr248aEtnDTjM55cGPVZPg5XNnBSlX80hgfYGmOJTmcWtE4M5PGH
B7ezxCozjYq7zLKHX3ZN83kf9QWfXfe0AX/1wNShCzWIsewSDF/Dw2TYUrFPMJkwdlRs8fZrdElJ
nLqzGtmBOKr+INoW0p5eP349mJEi4JQGTZ26vlIJ8AmDFKYnOW0JOjAPQvs/LOzoU44T8p2BORwW
B5aXPAu9MfS9FemFfCFM6sZLYcthfaAn7Z25g+Meyp0dPmBcIvJjglN95eABzsEyg7E1Ma8aU/9e
yE2vnpJE9O8TZJx+6hZOxMBjUDN1Jt1owezCbcWJp5AiJCSNqo0dr0Zx9Ih5wfQwQvW7Y9VYdGT5
sXMpUT5Md6MlMnk/RTaOkUbkGS0xU1OZv1RCGlAhdYt3GO+Ch/N1pfD2jno2O/DBVnIHhSfrV4ZV
iPxzUET3aQib7J2cKPJHPag9/xgGSXju8YSU3TFvSvWubMuqOvJ/oZ47kAkYvFU6uqqoDikbdYi/
AdGrAA0Wz/yUzwGTCpFp8dpZcaGHURJaZ68J/RKDncA6aKmifddQo3sfa6P6rdD15KEq1OohDH3r
UPuK0e/MSg+++V02eHvsRRG8x7NA/n47mLsSY0DJI7OnHKsQGS9iDMkIFQtKt3k2PK902PbFYbDt
4Y4S2ngnumyLIXPl5Scm5uBRUCBUXSZRjY87XkNv+xyVlXiuMOWgA6WpycljL4PtpwXwYQSF9en2
NFe5G59AAfuBHAMedavQH8Mi9Hbj0TzbbRi69Lq7e0+I8XB7lFWRch5lTrvZcja1p0Uk3kIMamwP
jpxE/yvZUePz8KaOevUxw7T+U1UGGbTXorvHoBDsTzWVP2//gFVozg9gEFg7ChkchY3XoQcNn0hp
KlYXJ5rGrVW9x9R6GN4PVE9Pt4e6tnEQ66AmSxmf0uy84v9E5qJE+GdoFeZKC3Dn4f4NCohHAc16
+1Geee23x7s6NSqINPdJ4VbRmxLVNR4IqnmWleC75hvlZUps4yXxJrExs2t7haMK5mvWrFnJP+R0
UGOuE/Os+YHqlEkvP+pdP25kbeuDMCs90PSh+UJFbdlh90ZDKTtAUWe9lsRdFPkSpqUz0oSm8InO
XO70CrvnrYtIYYGSAtOyWcplRmFMuKjHyLqcFSyYUHfEIQLyto6febdFV11/r3koZOPYIWCNl2cB
B5DSE31lnfMxDA4IS6o7su/xmEZesHHs1h9MpWdqoo1MbweaxGIr0vsIAwI761wGJllgO0wPRL3l
xjW+3vCMQqGcuutMhFqmvVOi+m3Ua6BRMc8RiCapfgKGWjfxlpJwb0cZE+nvt38vm6xepkfHtltW
t0RUcxrwg0MdVZljKk6B7PAQS47RlP0GyGR9e8H8mEuhqLeBn17y0Ou6DhosefRzO/sf7EoNLsuJ
flUEXbP3FdMdBtV6HgwiO6x6Ax1ik5UN1cY5V9Y/gyuU+2uusdFoWW6c1DTzcERQ8NyXFl06fKH0
R2gxuuZopWJ/aEMl+hPqio7VY4lAyw4Lhaxy6qrPDGxDDHC+vUHH+oCgrJQfQT0DkewKP4oPnYWO
H823rLJcCEJF9a5PG6UloRj97L0v2ZH5gBjEiER7q81OXsjqYZ3gBXbvmJOBHsBUjaZToPXxc4KJ
rGzc3ut9TJ3DJj2lbgTmbPkWl3k3jX3A89GUWXSCuuXfTSJrNxb42voiTznT4+n8r9bXtsOusCUu
0hwx6Zd2rOKvJcyOYqcqjazuapywL1mKwcJOqcr8iOlc+fn2rv4rwfw6IKKNwUmCz6RTUFi2E0Qd
RpWH6chZ7c1McSua1Nn7Pi6q9s7KJASf6HnZqZOQIn3o6AXUeFAJvKalwgybr+AWyh6EKv5Wp7KZ
MB8TiMGWd2WEhs5+lHocj2TMKbONWtT68/BNYBXPiiXwR5bnI5lMqWDTaBQt5GkPND5FXAl8/O3F
uXJvzrtZQXmWEvPqXe2xD7Wr0NbP2Wzf3MSQ73ZFyA6f6BxPG/fLuroF2wuVTYqH8MpWhIkIM5fG
F4lBdQvVgNYexi/d1CN3ZEEoeKcRpJZOG5jiPkTvrN0Y/Mp6QmA26QyCWlVY0tcRhCo6X42NWQ/F
pGznA+dxmlHfehz+tlUWm23WfWYxEfWA7Tn/jH8ClcmHY1DRHD/DwGkeLFh/dItxX3+uFQnwF3nJ
KFFYE41SkqVzKA6piMkK4oyWCSbLwpd3hWRM3zUzhjKPO6XPKckjGQZjFDYppjxThhdJDuppb8VR
dQErKuED6eXhQ2kreILpcVt9NToiDoyqAqvtXPqV8G7qMrN/WtBULzVGu+qjnZLlk/4pUg6KPcLW
W50yZHNxoLDffNfMGLq5oDn3v2jnv16VtEs9/iWsHKutkz1O2OqJ3qa18YmvbeYZksBlTpV2RcfP
beEZ/kB2EQZYHg+NGWNbkGHShP/mxut1bTfBJLOohNOApSP0ekIwEGblRYIAWamFK0tYFwQE6+e3
n85/R1EWo2DaU2pazLIp4bT38yI9QDLqPkS4E20MdSVAJAqdMUEzkG6lyOn1YVLEfgBvSsg9Ps4j
bpXc3VhmUhu6t8va3E1RbG5EiFeiHITSOY4aWnJ0YRenxZsavMzQBDhrAY42ejL1BwF+z9GHfNhX
2DK9u72g1z4bsBxzBiDQO1/tQ1ENEMN78xyzlo9TPUB5aE1rY3NcW0v2BRAErhvSs8VutxN1dnex
TRQ9GvsrsjC+jf8ndRUM1C5F3Utn3Ki6LZHyK7sfVICG4g3CN8ggzWv9z81jUeJLKiKJczLgGxIW
kn8GwQIPyYZVcXsZr3w2bm/a5SS5tEOX2QS3e5/ZmbDPwxhk5JyxrvyUVGl4RCc6ebAtI93AIqzb
lDNkFYUXmBq8HCuUyuCXLKKaemeqv/5DiwfsL8mO1c/Up+wPQyIFbhY3XIhTbAMcTo3nMsq94XB7
2utYBi0j9L0h36LrsXq/CGbzqjJzEBEGpXUM5KP+borGoXOR+U4/BQRUNgZYAaBBW8l8gnQ5K7bA
rlfWftZTAX1F9AarefGOmUGaQtkypXMji2nc2UJKR5zGpPFPNnlcqZBo8o3b+8q7PUvjzspaKFSt
UaJ6EFTBYEsY8kzheegG412O8Z7ThWN1CgOY6pkdTLuOjOJ4e8WvnNeZ7EhGh8YSeq6LyUIZ1Avk
DqSzbjbmu97AlM3OkEq8Pcpf6Ofi0TbhfRAHs5mJEhfXUGQqFr3mmYSsD0LGtt2azp2Mdegu7u0R
9IRVi99CMuN3Udp1OGTZY/gkcC79rsiTPn1IgzjyAIenXkDWpE/DYx6mebpD9s6HESeXhuwgbgIR
EO+lUD40DTwTp5IjgRlR69sUOnGqn/Ydjmr3tZo3llu0idzvaiMBphgYo4Uz+whC/r5L6DPsurEX
OvQtX/4A5tLuT7IU5fQ2/E59qfva+1wZefiCbjLwvxif73pPKyVojmOiwIqS4wy3pn62E2/I3Sf0
h0sNmlk82xV3SGu8NxAPlUGIa2LAgx0ZHewrDLzP9DR56bIgNVwsWLMPHdEadpFWQaTReBL2Vzqi
F4VTDSkK/2bZmLWbdnaROg2edsau8WWs63T6Qy88M128s4qggjnbDiW9nHzInvU8wP4JYwecyK0s
GZR3GRILmRtoKu6rUWyNl4xk9E+qN8qf1s+VczGyxvveb+EUxkVs7wbK2bUj1LD9gd2a+qFKw/QH
LU3va1v51U8rwcjhErXR9FHOOaCuxVSrnR+01n3c6uaI+ZqUHPAeI+fzqA9B/4EvmeApEFnax1Qy
jTeDkMDEETBafxvPaNMudvnYWkhytq10VvPw8zgoBt2BSrb2mpaFGw/glUcCjyWyMfQkKQMtaTgl
bsn8DAIVkWXDM4qT+TsIOB6gNdPfeCSunF1wR4B/ADUjOrV8a2nwRR6OdNa5oWNyittmfBwj3Ldu
n90r1yH8pfk2BpRDJrtYOwOXqizvTQvFF1n6wgcs72AlitBRR7zOnSG38i1gx7WJAZw2qV+gM7XC
jI3wbyIafCToo4zhg9l1D4miZe7tiV37UsR+rJtN4kxVa/GcB71chrDuzn0tT27cpYOrtf1PVfTx
Ruh3dT7csDplThtK+/zs/RM4aAigGEbAfEy8rU+YWeKWWiBD+F/m83+jaIv5SABpsyQTFAO1OnFi
u0yONI5CpxGxfLo91LUJ8V5R9gflvwb5tIg2xjgDUseSsbyvKXf9qlHV/fHmUXh/eZfA3ABeWj7E
mClbiYQH7Nmvu3Svtvl4kPM8e/spghcheJQga64petHIbYsQpY2vTmjJZGi9Z5+wqO6bjUW7st9m
BgjRPxi+WQPv9S5oxOSlWDTQsyja9kPcRwAFFLUednTRS//tmRpFdUL+2Y0MgOJ8qv/ZcorXUX5p
SGx0QWEv0hu44nU37LAo2zKYuxK8IIqBZwmtGCLIZazqGxmRi0IvJqH8Ic1mofTHPbhW6m7MpaIB
ENBZP7IAaz2ZvPv59ia5cj3ZRGucYwqqIDUWE0WVyQNCQd0dJ2wUikYJXHUfFNqZfuX4odZUf+Mz
XpsuvEcTuizo9RVfdkqotaJByTEzk/gniCrcc7vam1zafcmjlHTDfgSF91h3lfcf8m+qK6CS6UjR
zFji+CZDytCmIbuy4BVdGqPTCXX0ynwA/qEpG/fjlUOOAxkgtLmiB8dssbI1F4g3mciAgw8z9pVq
p49Qr5ONUdanAn4zXRMaGHONdAlt7dAJMMe69s42cIcTyIZ619ZB/jSYvrbx5dbC05zzWdwHFRfg
53BVXh8KHfYxXerAO2clhR6XLH0M3LlsFFLGUK2PpBRV76CXb/Ru3aT14OSpBxdUK7QMj11NIz7c
m0NtDBt30HpPzT+MIjEAX8MCLf36h4kef5w6C+f4ZPL9A3XP+Eea+toBO2O5cCNRN5qjjH4V7pIc
j9X/MvwMpKIzwWW7PEODleNNL2TvHLatnqIx4I/drgoz2EqSX6Nm0wv1s4/ecbhv+pAU7K1HGEwl
6A3U+xHDQn/19ezzCofNrEgQ8fE1Y4evme1mouj2mWerL6kfb7XqruS6PCjk1bM8O/nusnxQVWVJ
ZzX3zqhnhE6nNSjKGWzy49hinNrKjdjrciQ7SmH17zBDxqtS64uX27O+tvFJuECQcKTXaGuIwV1d
gyA/B0OvOqM9xAcvabK9kpn6xhlbn+T5AaVkyp2Bh8hygc24RpOoz+FsDIkA1UM+bSqp+h92ET3q
WdYMvuOqJ4+lJ5zKzJpXNRoPQk7whGyyaD/EInBar0vcJO5VNzSHLdH79RvA+w3wn6PNEwNJ9fUG
CloVH/FJ8+A26oZTAqx98NsSuTshZU8SHYit13VNdeROFDS1uDHAIK66vXg0IIiuN/Z5Ah4y521p
rHybcCwqX/QOHftDlrbZZ7Np1I91h6aQYxqxaTqZZ4U5Ztd59acrUv1ZzWuqO7f31bVbbuYfz1uL
X7ei0eqxNSWiKoBkJHqcHro+jt8LI1IsfKet5nM/Crk4FLWefROS7Ws7vC+zZzU0lcrtWzOaHNjh
cDNv/6p1ZQcIKuEIpw4G8UrLoo5NqaW0Y56jULyAcr/PZaB3oV3rlxGbpz3hwS8Mu1HPx1Lny+2x
19VC1oE/yGFQBlkxI41MCVQjpVroy8ZDm8VuHFTIcZnJY4Lw4W52fdp4aa6cbdBB6LPzbFp0Q9TX
G9L3kcXDMRnNai+o9kC7un2QyOJXIY9vRzdQ2SWonFUL/r4gr4dqi1HBYoWhQjNVHFWqWtR1mmbj
812dEIoPOFFxS6+YcnGI+FNLCeYMTA9nVBI/MoykzN5PvUqycft7XRsMtD24EJR8gC0vjrM/Y6m8
gRTaNwAVgj3NXDPzdEyjva0c8MrDO/sloDxA5ZNm+fzf/wmTRW5JmSW19jnV9TY8NR1qDTtvUFEh
bYJoyB2BTZbHFrH89wJtwK3DeuXmYnzCLHIC/rYE+FD7sAixuEeEJU2uFWrTflIh2qBVlThJ348b
acG8dK/rcFxW84RNGrbmmp0RDoo8zsl8W+v9AyV87URQsdXzvDYrii0IkRCQ88AtHvSxk1JEq2iw
+xChIS35cv4eUgbXsChMr917yK1sTOzankHjG6SDPVvcLqsUPf6UteKTxZm9+lsRdXVfpJP3QCUO
Va+3b0+cogSjMbfVWRilFMEr9uh5KES/75Q6PlTUJB0RVP6bU3petdkxjfa+igrKImAVEwgYdTRU
1NJB0e+nns4HJTNd+lMEdZzub0/s2stBaRYbj/niwtRiMVxcysiT6bp6BtlZ/ulTNap24I5FvIsS
cuTjOOX58KJW/TSeY78qNLeze9G5cQw3xSnqKav3gyhEsrHiV3YtzBvyWA4Kx2RZpI68poxTf9LP
iSZVnyfhfx70THq5Pfsrg8xS/FSnuU+Bci1uHRF4qoxKgXGWC8V3ZCqFZ2kE3X97lPXRmAtaoHHA
sfM+L0PP2ivlVpuBi62VF8+S0drjzgpDA/DLFH0PR1/buEzXNxwDwuYjHqNPtmIuxRH/qZYjzJyA
Pz83hpYehtAu3udAgxAgDrovUw2R1470eqPof3Wq84NPDQ9o9vIar2WvUSPRmYDch/EIaqygmaTi
+4eoKp1INTrcXtr1B0QHBRcaXFF4CWlTv77Lx9g26PCXwHK9bkDXwZNPVdebb37aATPNxSiYgwiV
LCF3rYJKMTUi81xBaN2NQvXvs2r6YSvdlpnhlfWb5TWJH9j1dNwXG1LDuSlWehCZfjopj0prA4tu
6n5XVZJ8mET4ZkcZIDxg/Ghx0osCc7pYv8rsosCAeQWEIEfT2UD6cih0lOgkb7hIkTY6osvfaoE+
y4AhPUDVcrYwXomWAMywlaku6KlWtuGGuV+6bKhi30xT/vHN+2P2mAZLO6NqUT14vT8A+7SMP3in
wQiD567uq7NVyP2WUfL6JQIcCQaDusnMHNfnaPSfkGJUG6Mw0I085ZYmFY4ky7kLCRxDX6HEWy2A
q4NR9wJCO5/wv9bh/wymyLnG1Zh6p1EYybFuC3UnjNI7oee9hfT+W259FTugQkFbn5iEYjmKEYv6
spzptZUaVXCRRgtcZjDWprkXbazE8Fa15idGtP3g5npdGjtRJTnYGL3Jvmd4D2Z739RR7ZqGofyc
6Xn6u88oOh3aqR1zKg1J/iNgXLhiJRRqR9NbM3GiqdTBSKqWZD6pPt9M2fm+BhEimSLN3OVS2EKb
zRC2OaUKrFN3amd1dh7T8bNaeuXvfoxxiygBdrUOSmjdfLOP7S7rrKB2uOtNfLvikc2WtWbTOUXv
lU+6NFHiSic/yHb1pKafpwwTj91UZd2fKfKrE7giXXaDDMMLYJRtAuFDTPHLMFnQYN64YecFxyWN
jHZWN14iJ2Egppkny/7FG2rfpdWTnTMFgMPtUVZbCJAtJ5AzSMYFWHRxzYhAUlFVGKRzDSbso4a6
rptMcvuI6tlWpXh1Q/8dau4jATSfIYuvj4YVIEqu66AzzKoO92pXKXdTlm6BCK6OwjtAPWkuCyxj
esynWsPXJ4ppfWIf5TGU9hn8tY13dXU7q1QAUO3lyoBosap6F5NdRZ2le2eai8reM5vEkSUl/OLZ
bXTRqiEsN3bDle9ElRt83wx840FfLB6tsNqYEG+64BIuOVUtzKMHFm8XBN1WVrQGdDI5hFnoUtDF
xN5skRbl8vg/zs5jSU5kC8NPRATebKFMV3WrZVqaK2lDyA3eJD55+vuhlZoiitCsRjGamCwg8+Qx
v0EcQgWPMMeh+ERlaXSHpZn2pHWLnx3NjWE4JHmfY49kzaiJtrHdXUtLRB9SPZ0+6OWkvkyW0cV+
mE9K76M+nLpHDm75ndFzszf62vjkRCUUEpZ4y+dYvRtttlO0Tww2VlGm79WmT75CrlR3BK6MrU/A
Ekw7GIMCz1ndkFqUKQgkexCrXCVhCB9Ho8edbFBiyAauHCIokzv7bZhg9CejcFAeIob2GI6j3/Ct
SDwjfm+UkTIcCmWwPluMRBqAhihTPSABiA4t88fOOY4qwfNxyIopC6zYauL3Woh+bcBZsVO/q/TO
OisJfrUBrIPsWzmZgwzQ7QGvKLu8JMJlWWscLacX4hQbFo4UDPLAWoAzmv+lCyzgvoWhvicNs/UV
SDURNoSOf+uzplipZkVC0sdNzZhgK+QVszUIpX8dsJA8J8VT4f3dkh6GVh8tpCHDizCV8kdvGfGb
Wssn07eTwf5rzBcnAYDZcrWi+oqAyeuQpQ1hqdCeDy95OmTQDmfdt/S8eAJJNxzvP9dNpr4sBRWG
ThU9w5up9xw6fWiETCdkMpnBaFfVsUDQ5CjVeXhqaWydlTJD336y7V/3V75pzrEyZAtcbjjDSESu
9vUQF7jXu+Mibw9E0a9lZj0kBW0BNDFFoLiI0+h2DryusGacg6rqcn/9rY0DWoLCfTGsuIFGIh+E
wGGPhR3yJvEVlWJkyjKaqPdX2Xq/IBiQ1QKFScK5ChKtlcyDFSrexXQaJ/LRZhvOuRXnXxYu34Oi
jN8Q+mkDQHl/3THg/TJxWq4jphzkhq83kVIB3kpdsHXo+RrnujHU8wTKCXRxXf5tx4D8nbPMyWCW
Ru9ledV/JIStOahjuezX0G2yp1JXy8dS9M6pqYe9ynLjq7FVQYSYtARu23RyadEZi4eFO4r2H2Fg
ECPdYs97YeOrQata6hLGy9QKq3dn40QnJxNNH2Nws38jfRjPCInHybFuRu/rrBUGcc0q4zN+6OHO
jtl6woWo8xuuu0yKXr9MB4V2RHURKaur3jrDvzfGg2rCuDrc35nLM7zOrAE60wugQGcmRa/69Tpe
h1URY4PoOsPuO4Izf5iL4egl3fSgRzjH3l9t440uVDVoorQ6bhWZpCETU4+j5BobtTjmueOd6l7a
xwKI+idD6OKiu0XzuYMjtLM5l9Jn9Zw0V+D6LKMJWAqr58SW2HNjtUmuuQ3Gb9IGhAnRcf8IY9Z4
zOfmX/jx4U7D5XeEvlkUJweKW0LLTctTFjYwQ5T1UWMEdHOkt6y4fulWEYr4o9tPx66tihRN77Qy
HsJJa4drAaIN2Bqqgv/LRZpOvix19wdMft3yBzMp6yNt//lDrnu95edt1Xa+gVbu5LemEp01ZbIN
v0FNySWMWepbXAiRZWwGu6uvbdygA1o5nasHiVroP91CwiVQvOQy1H2j+3XlJc9ga6PP9hyOn8NI
Hf9NIhU1xwinVNCnnaf/AG+RfykLvB+Odtur8TOG4O3XDmPFDwxo52eHDQtZf1ZtGej5LD7e30Gb
35FzT30LYvWmvyu8UsPBAc0CeuTMvYpZ6zS/0L3R8tsiqu3zKBMXaXY4wcbOkdy4qiiqWRi/U3oU
v9khf8Q39FoSbCOK+Jo6fd6d8yGLwDG2kWl9qLK2ecOGH78r4KXfkhb3+pPA03OP0nbbJ4VPB0AY
4BP5OMFpOWF//IjF+LkfjQQ7ojTrsve5xbUNnpGJPUQSwpLfT848B0qoRd9hqE/vJmsa1AMc3zYO
NOEML/NgpHsC4LdjbX4Wsqvg7pHEhiKzClf2NIZR2xEqq7JtFz05p62DQdQwWyaGkBrGiVpinTVt
wFailcLKfau1zdJ3c1PbqSq3vhOQYgSnEL6CGbYK22YPYIJ2QHTVYeEdljHnMa1l+JznYKzCwrZ8
TynxmUMa6pAxNP5xf4cuj7o+9AAWmftpJgJf6wImlEM1Nh5aiKXZCJzJpPUUklTvnIONegCh9cXB
ifyQjHcVz6RLBQjRilUiKk1gT2iisMoJF7m90Lm91DI8ZbQLWnuVvFCGtk7oZVwRme4d0ZM23xup
Nh7QsNjzL95eimY7jwUHd10/I51HFpNi4pQWY4fDm2oeinKe/X7o96bCm1uWctaFc07r9uY4N0j0
ldXQKZe8zOxHdGfKoxIa1kdDKdvnKam6S6KWeaA6s3rqJg2mlxHuGbduHmcQ/wuFcmEErjeLCIci
iTUSmV6TzhfGnAk5sGjqt62KbfqJqUdfIA1nxmC6M8LbG6mN1XyoImP8Upma4vm6XRp7fp1bQZYd
bIClQDXuBp6qZsXsEEWiK3Fo+B7XwwSUHRW3T07YtY95T8901MfR9u+fnN/9ydXRMWGdEECYcXFl
Gq+DmxZqAxNEJUFYXIjiIFyv+16BS8cGUapfSr0XHwbpYHuop0OFcolQe+w9JdJez3PeUJR6Xed8
QAEn/TTLSuR+4czKN8cgBAXl3Gsfsb+RsZ+UAitC1RgVM0DFRusPiGBKugpK3ZyGytThfHtcrGKs
W9h4feq8pImTW1cD7l8LxK9J3SDGovAr4ws8eQrbyH+6tjNQ+edOfTRRZlqg6sjcBCgAxfxZ5umH
VArxU0mTakSD2agAyKN3gjZSEafGMSursCUyyupb62qV5ieeFI7vpEbxjtJQqT63roWNSui1xks0
T9mxwLO8fRTtlP4QcW79SqJ4/LnzQW5D2avvsYrqdSRd7HbYnaOVfdOHxDnKxhFBiYPgw1+vBOke
yDosTgac6xjTSwqnkTzoKk1Ab9YQjQ/lODjIok/Wu/tLbcTnZa6xiIQzHroxJyxb4TqV0iVX7DGr
x25GGcGumupwf5WNSOYutyGzaIROb4QEHECwtjSwlqcl3v/PDDFjLr0wOZXjuDfX+22fuzo2IKEt
kC2ACfjTKkDTnXVjYUXpdVQ88a0d1fmrhFn4j4r2y0tfd+PbsamLb5oYkvohUWOs8IbR6OvjaLrh
1/vPvRE6uHd5s5T1oIDXk6PYAmE8CPITsG/Ns9vNaBBliXti4utgyJfqnz0rt3c+6UYRg+w4unoI
P4KwWvfgGi9XSoHS91WgtXWEjAC5w4z756hvugAJ+ujTf3jIZRBHm3KDK4YwVz9HPOU1TRJ6TGgX
pC+RVjr8MU/CL0z/p9k36UIZOxFya+9ifE/i5wIaAbP5OkASC5F2YmZ7jSl3E98o3RlXtNj9cP/5
bjFmQG+pVxZcumV7N/QOmXpa5+gyvjZxCEUZgODwUTXz6iHrQhPZszrK3ylwMH+IMpwu7VDnSK21
eLkdx2IUQdepqXYS8yB2PvTWqVq4iRAZ2Ow3c8JIhyrR9DHZP64hz6PijOcxdL2nbM72Zmkbr3oR
3KNYJA9ZulOvX3UeD3ZZ1egU64hKf3Ua3Th1MyzI+29647h4+KKQzhMskCRffdBUTYQ3eyZa5DoX
zmTMh6QPA6li6BRmUK56FCz+PjIB5+CapeVHi30dascJfU/gg2SOVp4fTDtSz7bGQN5GyGUnqm+c
S7C19tJeAAFKd/z1O0RMLFXUfEyutWyVxyF1++c5SRUZ5GT93alUKn1PCWCjw0BRyFSEdIqNuz4h
eH4BIdY4IaqRN28EmfdL67jysehb9Roncf9o2a2rMOFLlf54/2Nu7M7l0DDPWo7OzXx+0GfbKVSb
NmJtFGfTSb4MQqne6UL8ur/Q1t40iPi0Mbgqb8bzMgNlNCzHs7L19C1woW8qcIOdMmprEZJ+0MqI
e9BFXG3NsHJHY6YRgaFMWj5iA9bGx9gwmz0a6NYR4DJYADCg0G42iWJpZRJ3PEzfDS+CNvSZ2bVz
MnGvayAy4kqUNHCrdyLp1reiVgUpxtzxFodtlyix2NZMJFHM8F1Tj0XgalN6sivZ7LSBflctq/t5
4b/TyltUz921OQmMDaON7Dq/QuKdwpPetyJ92xRT/29jWig/Qh9BoW3qIvNg0G90fGYY3bsatQnA
s3P8BfF+1CSdJKy/4e1j/FCjqH8pcT8f/KK0auGPXu3sJeO3nx+TCS43A0wzadKaWsMRMltZyPxa
G27rY8CoHYUb/rVxwIJ3Ym6mLh2y27mN6/Uku87iVzKWySFFF+UoRVb/9cFkGxt0bfjUELlvgkIf
T3HXCSQZZzs/seHzc9No9SVrYFv87dFkWAOdZBkCM7S5KegaN9VbHPuujgKWvs7b+oiR7J6A1O2Z
gTtFB4jjgs/LzTSwkF1f4KWYXtUO/Vdf78TcBehjOG/Djsmsr9eT1hwHICd7UIzfNdjrzcxEirRg
mRNBklzPgm2KKZQlcUAEH4RDGlAM3Q0GvW+mQz3hS+in2mxij5mUUdWe6cfatq+ok/qtzvX+U4k8
6HAY0x5KJbepzbBpaIsfoug001ewbxZ+DCYgevKqJAb8Ckz8F23I6a2FfqodQIow35penHwQmo1e
itC9BiRFVRjTYe60vDhUXefaR7RKDSDlcaTLM9+rlEGSz1PxzgoHN4fB3JoNDG2t6AK3WaRZ8rYw
k6CqVfMfTDihSw+eRchJK0kBaGKIgJiQxb++v1duYxCvEtlrBB3IlG+srYDFg6c0dK7HskvPuTnX
R72qM9xiM28nmG9tmIVrD/8XrM6NQE4dynhUUCi/Tgic4lTj2t/NrAHn6wzNC5wULXAnXKzvP9/t
9c/zUdaBIGPpG6bC0HcaLiekySBHtIdWQnhRK09DlF1XDsA5xc56t40/4CoUdIspNZjmdYO2aZsO
paMyvWouuveHJIvNH2ljh/jIVQpeQDk30MmRXjkeQbw4P/RIeMMONuM2/6D/DqaK29/bEt5K40xp
w2GR3E/LMBhCGX2kF41xrxyLJ7tTxcXUmx5ZGX7/ztpb+4lykzEHr/0WUd4AxJL6yNplnnvBgn9c
NJRNVHHzvYbv1u3g0v3BkZQdyoTsdWaXKYISp2A/hYgIHye3rB8qr9hzZdvYQGSqS6sb+jJd91X+
mEsDo/oZ4yxdKYIKZ+FzSP/dVwXSLsAudnJxbeP9aXgBLp0v+o/6GiAbpXmGhRQYmkjvdZQBZGQ/
pKDfPrpx2YbHJRpMBytq4R27A90cvxGZ8jQUoIqaJMmDUulF9WCPyIYF+Eh4j6ka7Yml/IbVreIv
neVlggUElItz9U6miIiHrhl3WZTP7nkG/gIShomAdog65MGfMGaP1KPo6/5tFE5mF4DzGqpj0tf5
RzXvs389QHDzo60m1QUvBdytrbwxv7pekjpHG4pdelCHxIWAmKt1dcnpfylXD1LAELhuG9eI/87Z
dCxCu8U4kdyk3dnGG3sLoBGKINhW0BhdV/M2nYxE9nwGDTWQj2Zh4uSGjvSOBqNz44C+VLfLOV18
MEFMrl7kbCQ19zhAI89tJnlN0IvXfOy4nQ5onlI2jwA60dzuE2Fp7y2cr5XAyBhf+K21UNl0YHkF
al5yDIPUUcuXMJpNRD1gpE/+1KsdLd3W7BE2HDBZ1jE0KE5eDzgxSPHxboJoku4b6hEgjNKu1Tno
1Sz5kXVmzyhytr8X/Wx8sCo5Gr4GRC7x1TZO0mOmT659iHpc6g5tDqXrqPXC1g84nLsaXRZn+qdq
jMIMhlFGDxU2vh2mFJr6VdRJ+KuoQ/tZs2VBOgko9mMy5sZ3KPRIJHalV3uPYYl4s1/T+AxPMpuH
L80cF4pPEEdpIY+UdDwWPYTaJyeiO+jjTaw0B6+S3icyLCU7zaYWX2SWqz/dsHRGXzGb7nshBsn5
BbsZoYWCKrpPZyPR3qSmmP7RGtl6JxcCvEVeII29cnejO0YVw5fmKWiy39yyEt/pGf9079K0E9LM
9EoPqdlEQaQW09ulT/jstWnFxKwr3xRK1x86ZiiB4/T6Xha6VEzrowvaaSmowHHdAvAj3SiyUboX
REsM8+hFQ1wfRNqK5nn2JsHJ0uMkesw8b0zPRUd2gMK9kiUPbTo1lt913uidgWmF8mQYIxr0hYO0
SoYOsuVbtObdJ8Ymsv+lak3SBQgl0fYu2C6f1N5q84fWnTE5bqMGfs+kDGr1oe7doT5VXTZ+L3IH
ewB0z7XqjevO3ht7lrZ5aGK7eZdaSvrZrRWL5C43s4L/bGr55V0hZaC0zpj6CmoCX5IKL/RT4agd
cHGZUJjMsVmMHyCVc2AkwujldZB9dR3bpC8CThwKNLkntbeqMbeu73jss51gspH4UFws0B6OOYnB
csX8MS8dBOI581R5F10V3lnohfD8jhrrMGrsASVrxSEm091ZdWvTsSwCFXDLGTCtx3NhtQB2G8W9
xMgT+KkNemPMiuqQ1D3TrB7THbdow6BrSUdVvR4fUd1qzkYr9yC2G/kI1zPlCL8Fpu8NjgSN9ZTR
Bz8EatlhFNn8rGDWdmQWZT13vTqhal84J8vaawRvXKZYcqoowIItudVuccANeEa9bHbVK09hm6pB
KjzztEg1nu/nmRvtSi4qZoZ0QvjUN62KqWTUauIDcHGzqXuPsE5cBqkLBttvjZkZsF1k8/s0GZDc
d4TKJBNCWJ987Edl/mroiCcIxBlhO/lREqrlXyPMwP2TxSwMSSrpdSNRTliujIuUiKs0+TFLivlq
TGOxs8rWPl8mZ8Q3SCI3OC/+oigkJPtLmqYKwy2Asx+hpTTL7dF716nPHNdPrTjZywS1jax7YTYw
a8ctW71B0IHMH51OxMoFa7x2OhpNtIgmFp4FdoW/MkHodzW60NYgv09WMv0iFnUf2DcMV8tMapg0
xUbnHW0ttMQD2WamH0KnHv4nAZoxzHNS5eRODfP7lJr0w87W2fz1SzVLug2keg1coJ08anoEPx0D
ovEDOFJm2laat4AEtMJ8kgY2FpA/o1NdaerjFEZ641MXWwF8MPN5xCslaJVBeesZk3Ka3V59iWQ7
PoBFUT4bZjud41zZ0/TZSIsRzONGo3YGhrrGAvfe7LReDOSYOJJfUpyTzmNtFr/Saco+JoWi7byk
jaMMQWZRYqJ7cttujDMBp6RjPehT+Y8chokIqqFv3kVc+nvMg83FaIg7HoWUzaKvA3aHeL+GeZ5y
kVOfHmhB4dKCTvMDUmzW6f7H30g04aoTGheE1q2UY4X+GyIxPBeD5CnQcP88VNIyDvdX2fpaC8aZ
Hc3j8N1ePxBPSDoVl9QIOdCTWsz50aRFdI5IhBZPtj2M3dYL5LajCw4lbaOfChWlwR4kvEyF3R8s
MqujMui1j5rG3zdRieyLCBjTGM2jhff60cwwdKY8Wh4tkd0TzFQV6WU3u3j5kOzEt82nAqhL+27h
id1AA7qRMWufKRezHpI3veJNF7qW7ddCix3//gfbW2r1wTCb0eIJC+FLjyjLCWN7WmtwiT9FYfLX
yvZ01rkWsOdbsKxgG16/QAcM4AjNN7ykWPLEfi+NJsDsZXyYHILI/cfauCFoi6CEsBTUzM+WSPhH
JqQ0mLWDKYFvnvXRsTXn9DkuhvTgWPNX0ce/zFYbdy7mjTf555Lu6iyP5WxlwCC8i2Yn0MNKW59e
KrRTB5LTdg9CsPV8uHGBWfmNdl6nXGKB2Kj4fVxq1y6fFRxqHjPRmo+l3aI+O0Yjl+Ds7PTVtp5w
scdYui701dbyNfzLuWv70L0olZpd7bin91rN+imyxmpnW27EERPDVIS1GG4t9tOvv5/su0RrO1LK
alC6w4ws42E0ujCAu5YElOr28f5+2VpvEWVdMGwYB6yxWLCDw34oUXfI+iE9Jd04/xxb64vZdfo1
sQdvpx7feJNUZ3R6GIOSrq755omWlEreLFiTOEaT2MK1osB454y05J7fyOZSfKvf9+ctj3aqEniL
sA2uBN/xySgt+UzXx37Xu3CN7r/EDYCXhQ4agl0ocTBSX88DLKyQjdkOF/VRTztNslCCeirNwwQu
46xojqQQmSHWQlB7boy6+6cYszLQtVp5jCI63vd/ztaTM/bFMJJIejuJMgTrV54OuQrV06OEAPdA
TqccIzq1O1OvjeOI/gw7Z7n2uP7019t1aIZwdAa4fXihyae6raIHLVHUUzNH+bFprXeTUqU74JPl
CKwKbFAB3EOM6+mf/m75/BHi1LbIEbaXyiVty+joyTJ7zyyi2dEr3nyJf6yyerJaLSob/wflMthp
Qj2uM6hIPZH46EIDXrr/xbYqSfD5cF+ZGy4+vKsrog/z2eywf7tA83C+zUZtXUakKA5DCEOAVNQz
3gkc2x67cPL+0URmOkEyG0DJRPjXLHeqCwgXy7SCMuOmljYaivfUIDWrpZpfO9vJr17k7ZlKbL5e
JO4W+Rqo++uKVVFTJ0qLGi9xw5qubg6IxrXi7tnziv8wrOOdQgkgTVr40qt3O4IoTIUAROtOMRBM
3Ssf8qF4uf8FNw/CovpG+4HG/PqKQIjAa9zFGTrEhcOXjsQNxM5wGkyRwR3ypA36LN6x4tp6h78D
N/Adrqc1BBpwkjY5COReTRm19Ab1yq9n3mYWQhq+/3ibSy2iEsQ3/rEuRirCZ45+GfrRMPACKTFt
zlu1uITIt+3k68vnWB9vQB2IdEMguQV2M0FrKlVQqyHQmp/73lWRXOmzEyKq6aHox/QLBZj1qYum
/9CSBpxok3yCZFnYHK+D2TghoINYNFE8rr1zheTWwUl6uTOA2ApfFFi0S0inGYwvN/If4QuFfm20
XI46wGO0QBpFvWS6nu3cAdrWhqRwXJQIcNuC9fd6GafXGLd6SJYpjYXxMxJVAhRtN0jNt7Goah5C
ZzZ+MSBjkNrM2lQfmlYOzbnIZ2vpW01D7TMJ6LyD4znAaZe9EftVPhc/1XJu2iPtTX1vFLS1zRYR
ZeoaOimksK9/tK7P8YQhm3IpB1VeZ7fJf3ilbhxtZ9L+w4F1gO4zxUOU8AZNiE5WM6p1TkOjKtzD
AqPyE1vtz3VXDqcsk6VfVFW64wiz9VF+O/uh3UaX3l3tMJCNXtyowM2UcBzQftSwwMQI4phZynvb
ldAVoGT9h6O7kOFtylOadOvOlKfDo9FTSP6OFpkvWdUkAUrczQ/pzF/uB4mNk+v9bnqzClXpemcX
6azVbQrMTSlRSmKcYDaPRhJpz3jfedhLWlHxYndmPZ+Blu4VPhvHitqUAE8nkk7POkI5uMePOMBG
V2sCfOtrjQpmEwVcded1bq5DD4xO2IIzWXcuzCq0Y9FasOSbrB79wRqd0yjz8Pvfv8vFARLsnkp+
tX6XcYGSxGxiPZ6glHRl2IyolQQMyrw3vCI73wVeBE0Qy4+9cn/rAWktks964NxuWjM6wy67DWmz
Nn0xfGCgJaCbNHuX8lbGQz2MfjkCNHiRr2mXIb4ojhRQVuN4kWSdE9G6B8gKi8ZuLWfamGNZO8ci
9YrQh5oyTnRv45FhyWz0TmA0pVHvJLNbT74QacEwgNa8ESKvMJS30gr2fWGq8rml+wAjYNrLzjef
nAKPYmEBg/L8r4OclSOQWENWucCO0B4mOtNXbNGqQ2RD8TByRQcPWkTPoG9wf4/74aJ2njj0oyt2
ui2bv4SjutgmADG8odmNVq8MHFr3kisomRyKGAgDvHArEYfSlo79gARRj4ijKnCc1ilUjjUiLc3J
AGrg+plij+nOT9q4ADzQ9EBXllr0RpHEAlrZSCsLL5lM8lMDSufJSCfttIAH/8PXBpO2qF0A4L/R
BS7mKkRcLGGfO2p8tDqRHpVJ7BGQNuprpBPRUyadQNhwfaNNsgyNVuBLYWcgqGJRRw+DqmVAgJrw
UM/pj/thY+v9gXzj1el0628Yeh7FdJVXizOvDcVfbZCGqMsBB5khy//+LlusGheY0UIuXncO6E8I
tKkiBRGzJDy3Rpsqvmk39dPQzpZBJhprhp9Z8fzP/UfcuENJs4mKpCYoLa1xlhVi6h0GuZRK+DCc
m15prq4jo8cwdbG+QILgOrXGXmLy2w1qlZV6EEoIDIR8yq3VzR3X0NsxEiW/r5XSPCY14ktBEqPF
wvyjpByDyNlfezy9DT814uZH37hYdTkCkBxUzJCLXs1M5QAJxZEPHVSNzO9hQVeBaBrZH904H9/L
2VPAnjQZSFEt6afUx4oj/UZ7cWKyXsxFcuqQP/qM+2YWBfB9my9qB/PkXesNAy5zgKAe0rpxnWAg
hEU7KeXW9U7IQncWMUsQSKu45ShxnYi6puWsxBWi8pOTPQlZeyfhpHSei7itLrGXecx/6uR8/6Nv
hWYg9C78fMLzjcJqbkEiLzWBiLeuJ8deGN25SMI9FMHWYfUMeiFgq5allq33R2peFczX1ZGrTxFp
/mCpjQpOFdPnsLawOKmMbKev+Btdvd5Vfy642lVNjWsixANUT53Kpr/eFsEi0P02mgAI8ifPNyXG
SDmAN18P0flyEiYl91/t5kPTAiRK0W+keH390DiLo6MCL42QUYu3k+I1p2SO9EARhuVHXrU3Kb0N
UfB3GCaQj7pIBv6eNP7xkhXRpkOMZgz+JQMG0oOJ8g+shKMd5ntF0G2oeLWUvnq0KgVg5KWLbLPr
lN/nYh4DDzWlgNmd8dwyp+YdF3tSQUuH/fU35aEW6WZGdouFxeqbCjJsppt80ynVeZ+hBx4SEMrR
TcJ88HO7rd5nEd0/T2kxoMrtv/Y9XhjDIEo1jijk8XXhl7WWO096H18No4jfxtNcPrm9qOdLCrg1
3NnBWx+TcwJVHX3ZWymsdmhHXcHJ/ppFUf5shG2Hm0o4vcurLt25r7eWoipEsfc3+WLdapzMSJpp
kwNutb360KUuJkNIFRzbDPXr+0diayn6X1iVuTDObuhtalPWatTBjE1kojxKTcl/tsbQHRxpTB/v
L3V7+uiB0WsgBVuE79Z9o7wvFMm1A8Sa2lNpuS0sY4xOWThmB5ok8/H+chspH+st9muLCRq53/J7
/jh9TZvKJBrRzEUq0f04NGXoT3MIGlkptOPQ9xIEmm2ccGSQB4yusqcaG6tgyjRjpw1ye5vQaoF5
QCcEgDnuKK9/iJ2P8VAP/JBw7NJ3XmV5gWFTmyJb4ATmJC0/EQrY73Kwdgw9Nrr1r5deLps/3gEi
R7k19DK7illVW5A6bd1ZR9XKsjezi0afXzdzMvi0niEQF1pjXHtMBeprn4fqqeVi7nh7wtgLHBu3
AVY0aF4gfsgRvpE0mHqGWAP1+VUvsY0oy9Y+d8qcnNJhotwr8vrRGNr00A2Dy0dr4nNajep/2PqL
+iIOedS4NzV8a2rYVbBHrllnOUFYNuoXre+7wMbdbOc7bG19ej2LOzZt2RtIyaBGghYSRKqsnv+H
lEKpBi5qNAelrZ2Xkk7CTgDZfL8kMCSryE4bN7xKIzbRqrCU+BqmfX7SY40OVyILw++10D5URmge
rYa4Vela/NYS9GyxIGp2+gdbT00ms2B6yV+psV9vPnTq3bKNYMtpInW/qk1nvx1kVp6Q1WgfTTK4
PYGxzQV5vxh0gg+6oXI4WpqGuUfc1Fy2llWo+QeppMWjMyrx+xxt6J1UbevSpdBBbgGFByLoKsJU
cZ8ZNUa316JHqcIZR1wGywmjurJPJaXtEB6a1DQ+3A9sm08JumPBf/5u879+rXFE5p8OaA413jB9
meq480slTp9HK2RYGyV7XeqtW55RzW9uDNSm9S2ri6ZQu9KNr46wcd8bkYrRiuGLtEMLTf5ixjgw
zgJJteyXufx5/2G3djIqTkjKwywhnq97etZQ0ab3sLEMmVPhLhhpiFxqGmpDZ6Wz51OBbdZVb3Tn
hFHA+IZ2mfGhHObY2SnXl0i5ynU0+rGw6xAFQ/x59a1tYU1xPvXRNWee7ecILLzUo6LuJBmbq1Bl
AuM2ODRr9JbLG3Zzl1mRTITxk87cJ4Ek4f923unGhUSdjnMWY376iOt9a9D3EP1ikaOWymz5tIlo
IyZz0r3p1RofZ0mH4Kq6sfOZk5tnYF8RTfXLAXSpn/dgfn0lDufGlx6b0cc2tI+C2cZzHDcIYXWH
vhwWb8kqy5S9S325K9efYWnVEUS3jL9y8mwvKTRKcdsUXqCM8fyUTnHrnpM+MdWHlBynIvXUu89R
oQ7WwXEn9VELs/pb1PXhk13lbnEgF6j+2n5gsT8ni0LwHWDZTRtzhIeRl5YCqEyJxtMkOuMUg6X/
qeeV+n4q5z0hvK2tQuZCQxGdhIXX/ToMsFUcZUDk+arDS79aeoj4UA+H9t39zbLBj0ObnwQKlBLV
4s08DL0fJaYLFl2LPM1dH5Jc/C0ObfNTO+uCnVCEqBlCTYq+6b2jTW8UaRQPaBY1QzDDfm2fDVll
zlEvlpoEeuf0JXZsEAK1qyvug2PlboOo0CA/g/J3vjdD2qlnbeLEH2w3FQgfzEXxUrkhhqI+Mx23
exhRFPOOVV/h92ZBQ3X9GfOJ8TROSDQ8yM6Vsy/NqnoE3edF/jho2Uspa91+o8ZpX9OG7aPmrIOV
+OrwP8n+7WL46UBrm8g5tjUp0hG+jIhedt7kxtYl/9XxYgQ2dxPJHH3Oqll2MHRVaVxBb9vPY9uW
D/dX2biTmBsSMIlWNMfWcWrwkgoBAOYudVqpj009ike7TNprPmfFM+zDT14Vap/vr7lRRFAWEUrA
hTBOXE+4u6Fu9aJi66OzUAdTYRYXwQz4AIMk2QkAG5cf0AFIx8zSkQxehy4u/TQXM6AhKaoftecO
fNNMvmD24b0NI6/sd5LEjfXg7dAzWC5Aht5LKP0jgZahGwEqKYAIhIaEQLlABk4iV2hYRYrRTAF0
SzX9dP99bi3KUGJJmSg4b2aDuPTmQvZDeOkSRTvOo/7diefWt2WNNGM971lCbHw++Bu8S5ijBNZ1
l144SQtBiflE31Qj+Xa0RG/+a8sMqsRId77gRtwCzEnnlnvyd274+o1GplFHqljwH5VAIULFFA/M
oLFzkW68QiQ7wcGiLrKAuVf9EMOEhF3bjFcblSHKSeh0J17s0YuBQHvNXB3rporsw/3vtvEifyOE
qDVp14KNeP1oGMZaLWqCykWMpkDzcFZOWZ0yHqTY3XmLG0sxVwEKsXAhGLCsni9vZRojWgZgRQzV
yaF8fTPURlwEIt8NXPrGJ1vSXIqXRVzspv8NBdRW9NnIrw66y+VxCDXomPasWoNvWUNj+wll5I+m
d5KvSVH0hW9qw5RB08rNX1mWijdE3Ho+GA3M5WOd6Wg8T1Hsnkzpav/A5XHtIPZq3YN41cMRUsau
/a4NuvrTcCMbw5QqHV9c3LT23Mm3noskS6ezT0vnptVqTj0dgknJrnXiNYjdy/oQYiWyE5G3Vvnd
W6HrgfXq+niZ3ETWFFGDW+acP9QjEjeeIfd6YVurgGqEFUaCSvqx3At/BqpIixLXGPIrSMDuKYGX
FbRVt2euuLfKKhz2gmVGvc2viQWUwJjs+KTb4v+cnceO3Ea7hq+IAHPYkh1memaULFm2N4Rl+Wcx
p2K8+vNQZzNDEk2MAS8Ey3B1sdIX3qD+h829XEcL74AQZ/2eAM+HyQ655FblqhIMBvUi+m/lxQSc
enBPLD/4bTwJVoBLAjHc/xe3evvZQI2MbTsn6U0Lo7gJyCaac2jn7pdes/PoZAyWc0H598FwUnGQ
pG+PMFE+ZdNflUvsVlZH2CMutNXRTG9zYRYYO8Wqb5j9dBNKNx0kL3uzBLVIA8tZgLZrXJhAfK4g
685uhoDkdhVt0naXxhndKMgKCPT/6E6PXoGZG+FNjhME3PsX4+749JkhPRNJQl57+5XjJh3oRPOV
ZWUVT+Y8RB+on6q+21riIRdj8gEam3qBUdYejLz7kRG1AtNP0rDhdUvdkTE4cUaeVW0O8Ih3f1gw
PiPf1aujfbs9HagCcfwwmGHITRxUDFXWtSj532LI2HjMT+IZZl53vf8xtxEejAEgSNxb8Ps33iGJ
UQz0eQsI00jqFaj3jVZ+QoegLf0+rLlbayHDF5vCy1HTaKekupAV0ANBvY7gcr2PGjUqutZI81uJ
BMW3sGzGlyxLbPWcoxb2j5BW/1m2hXNCYb97Sg0lSoO0yMrMt11cxf7D0lK2g1UNhmZLpo9AVCdo
amTUNquvtcidR2EJ/QTrWHx9/xcHLLGgRJc4cC37BMpYl50t8hvI9AxtYU/9PEFZ972sar82Xldc
HFCQB03nncoHAjsoPy2NAGQE1/dD29fUbvMovxV9WV0mO0JjQrPGTwOV5lPn6D+nuvOuaSMRZcza
4kzN46gXvLehWWl2GnWTJW9ZnVtlCNErcNJbQ4H82tWuESTgeg+u+92ZgkoASgoSZdtxVkw30tTQ
Sm+j12SfMTrtPV/VRy/xM60SC8p8mJ5LGYmza8d56ReVPXybcTA8Aidvo8YF0LrY2AO4dje3RagP
0NWxubvhqZLOfmU4w48qhfaJdOYYnQst/S+Hme4Zl7IGFHpDA2o6tIQ74oKFQox7jsvj+jS0NP2D
dAjt2u/SuE+DRu8b6+D47K3t65GXv38VMFD+xteoTbKbWyrzB3Oo7Rvmxc1B5Xt3FLJdShT06UA/
vx1lpEAa5XXI0raeVdwgAYbonMZR553un9HdpQN0gsgT4L+NqK9QB7INjycuNPX6Yhk/UaL6gdGX
HhQe0s33B9u5grkNuAepwS6pof52Vp1Ux8hJjeSWDrqefKVPkn7XcczQP6a2E14xQigfVbUbH+4P
uzNHqH20tLgX4AWvSz7SnEy61Baa720HArqfyQ6CMKEEFutp+6QXXX9Q/dnWfhEvRRgSBVu0AzeC
78A6+ypuqDXbxUB13R/qQa+fXUUqoGLdsv8yq3pvXOoizsT/WhSp5CUfIml+ff/EAcsuwoWU9zeL
i6KSnjJ0fHMBRL9AaS1Pld70wOTK6Fk43ZEo1E7fjHkDpEePGr77hivUcyHSGkF5xjU6TLJEWJ36
eDKfG3eW18axsQ4RKZJLk94GeOU0AVa4T6kSaX8S1vUHy76325Z3F3TVAt5av7qItHemSWHnVoqU
imbWmUp+sVpv+r1u3PjUd2b76FVa9H7pQfDO8KXALyxAq3XtI0LFLUxzulZRFOYncy6yU+NetBy4
f9w/99L7ZCROcfDs7VwYBKkY0iy1gW1DGqAQCIbeo1Wmhsi3VNL54M3lERdsJyxkFFQAFwmFRTXv
7QEWnp57JEoInlpKHEDOaC6zNoWnKcez9v7e3RsKot6yixZs8rqkXwBoKZ0ZESdvHuA/1bLB9SmV
Xoiac4+D5P3R9q4IKEoQbCjwL4j2txOrFVjGrVCSW66OOLXFoFskAIIHb45/zOCq3n/rkp9RHgOM
RHVgHaNEyVyacaMnN73N60fa3O6pGIz2kRQxPSeh1R7EvnsfkyLcUo4mY98g4gpERDpdYbx+aMVN
DOF8lqjqnErkhc73v+TuUAsyk479DuUk08ZJiZFJvyk5QUk1F/o5HVvtu8SH6eArbvc8hDJ9qa2j
8sktt9qNbRt5XlKN6Q1VeuJLMs+zLqFD3p/QTpjFMCb2MrwgOzUjIPg2G19nGASGA2xm0+uSzpwr
L3Kh9RvuJ+TD6quDpKmvaKN5ss2mOXg5tw/K8hvwrAO4DghkfZeNiURKaCKitKyODcMt/jD2yvSc
sN7BUHmj5XOflz6uX2jrTMkRF3qJWN/m+4yP1iDqtOzYTXlclZGNwqBLPKK3TeLbdvOUum1zjujv
BR3IH7+v5umzdNL44GTuLjIHkxIa3u3sx7cnU2pth8x6ztfPhTzPyKZf28I03r1rfxXG6ZYuQBPY
Hm9HAU5axHWKkNUolDAo+a+CodGcU9Q2ysHFtvcpNSQu6YcSuW7A3QuPXvFkxVChLB8Gx5EXaY2V
76izB29qVC+gKIeLJVvriKO1I5DCNMmzdbIyGD/rjKytTakplDFudV84n8fSTP7Jewv079KJ6K+U
JjHnyIQSv9B5q+oHTzrxmYegO9ljG39tZwHWBHHHd5d0+Fm0XQAcEVpvcB6R0feFYljEhZFdTyC3
kvDLjCxke1KaBtDw/QO9t6NgFQAfR4cBguFqR41RlTnYRSe3EPFsw0cfy/1au7J9vwQgs+KwAohd
SFbrPRU7NN7nuEzI+rumvyRIOn5zEQfu0etwx6dS5uT2kJOzCEVCIzzIIHRt58iiPITeLJDNrZS+
Y/ZZJb08uc3zXKdf9FyOaJYZ0RydtEV58Hs+Vj1SToUWoy02JIM+nQyQbIava4i/+bFrVgJfhKQo
fSUGGXgardZtH7J5bv+Qo15ByeiqHj3HKbQvVT6N8YOq9kboz5MpjIMLcPusoMy2cC5Ih9i769qm
heptXhZpcmtUPb/l6TiepGtlD3I2jvbH7oUPdpxjgpIOJbDlBL9K8fTQ0+q275ObAEz1sexNA6Uy
VKrOE/ps57iOxxfXGpBzguD2rysFiDwN26T371I0jJCkg6NHn2l1IyUy7iLLQkAWnKH8MM69Ejh5
7hzce3tngRgVLzq68MSNq2IqksSikC6whTyt+0fLaZQHNMPcowLB3uoxBkKYLB56HKsvOvduXyI3
R3e10eyTUGM7aCWMTS+LnANW9jaSowABMg6dL2DoG8UtLu0BYspAlDNX8kVDIB7LdkqWY6/1p9lw
p9P9ddrdLWAl6ZpR56KKs/qEXTqivbg4MWWzof5ADWjqz9IpevMp05xCOzUUw2s/Q10w870iLZ1P
cVe4H9VUQmG6/1v2PjOavEuZk4Bok3lQs40Ud0LSXUASOrlmE95E4jmXBIe6g2nvDkUOT4+Xc7JR
TTRBkUAGBdZbghXsT1qmttrLgM5XgHkLfd/7E9tbVPJKSqcs6BYkIrBGUR0lJaWSVhGMQJqeogTs
gReH5j+AMI/gvbuLCj4EphH5DpLUqzdCr1BUp+SG80046JmPxmH2ZEjTrB7QOZ7TYCipHqBOFX2d
CpHU5ypsood0rIyj+szOd0ZceSn+o2dmEn+9vYtavspgoNdFyWQeg1ybcZQBbpU89MVQHzwZu2Nx
uZIf0IqF4fB2LD3rWGq8aG7Am/UH20uas+fAp0s1SCj3F3Tn3qHVS72JUWihr79vNDSmgEbM9kEr
8JrnbXUJ1fCIj7L3BhLrYCxKNYan8Ncyv7rJjWmEtguB4maj1mr6CFKO/+Arpf0FsMn9YGhFiVXH
EOrFU1f2FY8h3oPj32itJ94Ztfbqm/QmtTubyPc/lI2M1NNQJUOq+YY2YYuqmahWBwmZd+NjbpIu
AB7XOZtTlXnvP9pAYEiGyb3RRVlHbniO02FGvfim2AaWvLWr+VkepQ+pnVkHR3vnsDEUVyfPDhjU
da6R97HR60Oc3Ur0xV80pZNu0EBH+jPulPFimOGkHRzvvY0HpwbSECExmO9lt7xaJiFn1Dpyom9c
KqaXrjXda61EEtHEzjtIJ3aib1w8AJ0S/4LJXE+umsq5h9ZHF8iN4k9K4SWPc5Pa5ZWPb75AmXNu
9DVr7CjhGR6s4d6mJ4khjgFlROy/fPhX00RLCuhGztgxOh7nCTDmWVqxPJjh3sdclLF40rkueW/f
jlIavRbKpZvm1Xlt+8CaLDTaleR/9mwmB3WFva0CjhRsOznTlnSFpmaCzL3M8Gmzk3Osi+ppVKIv
ld6Xp8JxhwNtoL3hgFEsoTukAHbM26kNiA9VA3C6W1Hm5qnltfk96qA3K2afXnPDOmpg7X1KSsbE
YGhG0VhfhS1WnDqNaebZbUaX/pTqQ3hiSxanwlDe3zLCJ4ByEKVDOP4bDAz5CloqoLRuatiHT1rV
1+ckyo8ayrsTQuyBpgkgqY3KIfDqrjNdylxyipxgpDb7oaw805/R5/12/4bfVl+ZEFQcCNzU3Del
wrQvQUdVWXpzGzlfFO5FemDC/Qh0Nr+2bZs+ZnWovrsKyqDIWRAvc09uELoFCL66jlIukppQ2Yq0
nres+nl/Znu7EFIKdUkiLdpey8xfH+Mcy3QdyuzNAMULBb3xS6+eLtHU1ydFKw6+49Foqz1o1kXL
s4AKdl/G1nOV5X8ndZp+khy9oGqn9Hx/cns7BDAbsTplHrTWV8N5+gSvoojS29TDM+iAHASKgH0a
lZyA+0PtzgxQMlA9FGI3ISQ+vDOCxmxGU1G8S2zo2YPeRjKIk1g9N2LsL/fH27t+2few2UEZb2l3
hj57TuFSePFSLbsQyle3cFFVvj/K3gckdkLcgmd62+OqTKx8va5EBM7tvbMFDfc8Ual8iDq9+Q9r
RYeBDJV2C0Hiaq1cSsbZYHMdRokeX8owFsZJGefxjPhznx8MtrdaDpK6NHaokm2KrWU0O01kcBcq
QoWkqIkhiB2EnNWZfp1TtkcIlL37A9QNyFRIgwDolt/z6pSBOoF5UvCMTV5efGty2foI6MaXuGrV
b+jLzGc9Vo5gqzuDEiTywpAJs3rrKIt9mDfpUifnA7S3MkM12c+kLYPJllFgKzlmxl3T/nF/y+yO
yh25KEPxcK9VmhRHh2PqzMmtLbA6jMmgrxktokvWCOcJmZ7iMs+l9v59ugh20pu0tKVWv8pwqt6b
+yppGHRq0w9dMYsviRanp1wfzQOw2M6RIO+nGAa/iNxivZS6I0yvD/ElHB2huZfQzuqPUQpy8rG0
SW0OUoudjcp9smA/YEUuKhpvN86Im0dmiJB8PM2cv2pRh9e+q9urFQ9K69NrHQ4enb3lowlBirbI
a29gx3zEueh7LB6hxSlBHOMlopsiejCE3l8K4PGBqWKFfX/PLGd7VZBf0oGlrfsrIFotn167XW9j
036rC6365GjjB9JY+xI7+HI6oo6vU1SM1xGzrq/3B95bTMYkPUD6bluX0oqmSwGeUIhD2CsJ8OtB
+jcfYDH1th3+h7VcQOuU/bm3N+WpSSdkQB0+vhl2KWSARn7VBpVRCYphJZSqT27BQ3/wLu28EzyA
vOsotoNWWEd9eM7mS8QLHW7ptdhekb24eHAdLODeKOiIkWAR8XGHrxYwsWtoUZKad51b1SmdlnJj
1RcHt/YO9IzzRsvPgfhDYrWeTBJlQ4V0NkA+jSAi6Mn7/vDqSvnUcAyTIEW1ovDboi4qX4MJdIoi
0xKnOQZoojqGPKgwbI6KTTqJLdbSxKJxt070epPwfbSb/CZyO0pONBbaUw9HG/9vtDj5F2aaXFU5
O7/d37Sb08K4vzzlPEhvEARWH1u1SqOqsplAHlXWc6NX8TnBjOAjbFmVAjgOy33dqR+LLD9KWTbH
BXQWIFlLI6Divl1j28c8VwhVLVIWOSymMUKc2h7p55Fu1kEXZVu0YixgLkRSpEg8naubr7WnmtMi
yptaCrPGKM4ez5WujZeksO0Isw0QPh3GJlxUio5F1lh39lPtGd33d39t2haLPBv1gy36BYOIOMp0
ahVe2DUvAvpbYKeue7LT8N9Uj9uveCNOJ0TK351g8wF4NsAM0F5zNl28Mp2NqbLpUopc917ASpgv
skqOuDR7S0oMBCadg0txadnkryITjNbrRA2R+dVpbH/V1G646NEUPpvWWBzcf5tLYpnQq6GWff1q
KEupemcMURWRY2WfPGKik6NiDPr+9cIThTY6lAFAuMuEX41SeYOoWgkyNh2G/O9YVNE33W7cK05t
86OZFPS1pWYVzam2u3enN8zw9dirME83UBRUVYBu+IkUZ6PwnMCuRYhYjor3Nd/24NrdXojLgCDr
jCXrWKhXbydb8oZgQkp87k5dJHxdj5DOl6n73SrLtDwNpDyJ30rRnNSJmMWXXmY8W1E5v1i2mfcH
b83eXmIfkvBT197iThJzZvUVj9d0WgoZQMvjFxup2so3jaH7en+dN5ERUyel84BpUtcmln87dXTD
RtTTZnI7rfqrAORyEUmIIQms7xO4jfJyf7jduaGmBMONq36TnnjCqZMZ2bCbFnvVTZgmpVIHgSMR
2dZ7pSKWmaGIDTNgKeut4TsoV4aDMPr0ZjRG5aFJE4rPg1LOD6rotPE0ONFc+k1sh+MJ2HD67f5E
d77rgn8FhctZ5TZfbSmKINMiaJSCLJ/tS5rV/6pTHZ0tveo+JxDvDrbwzndFiYc2D28od9D6SdEG
mliZCc0DbWX5ybM68391NNR/Vr3SHd2ou2PBG+ZC9UDHb6ZmzanoFstS6VjjcxHa1iO5hPXYWdMR
xGVvKBq7Krn5njZkEULdR1iWy1v24sOsDPPFjvL+a6LU+vX+gu1cqw41RM4bARHR0SocSGECqGUI
hSQbreQTZiTuQ0TN/v3rRD2PL0cLnrrxZp2Izu3aVcmwulr8OQHzDGSmGi89XICDCek7AQ41Np5b
gmTAteujrcR1noQz9wg0KUfxgUU5zbmE8OBdxhwXBtQQ86QLrC6KR18vHPtHCII6g5hpqH/JuUNL
RpQl1SSYuOnXFm3XOBBysLNzrvSt5yPIzp+lhRcLwb6WQ2nL3eSMVNLUnkcdCl/gCU+JQRAINjyK
qca/tWiG5KJaYdv59JTDox7Szoah1AeXA1AvzJH19+0bVPbHHIRgimrHuRqz6ewVs/tRtMOn+/tl
7+uiv4Mi1cI84k9vL07FTcO2qUGSWq0eB7QV1Ks72ulV5lYZOIjIB0YXjejimOH5/sg7VwtNChYV
0yqaBus5do5swlwHQ2L2SX5O+B4+1b/hmsgIP7dCPQIu75wMFDkgR9IFpKa/nmkkIN8oJQIonW1G
57IM5z9mZ/QOwvG9lVu6frQOQEFtUvRcF2IOCcxuIbCGx4Ru0xdlaLqroVZHkf/eUAssFlE6akkb
xWbFtBQrisggh8YuT3UMYjWJ88xPhz46WKsl7nuTktsL6JkaPlCK5TFfvu2rMEqZOmQ79aXwYCbK
cLWlUf+BqIGWBXDH40s+Jvnn3mrwEry/R3anSBmHpJwAbgMoqwfNmaOEfDUTCXhj2xz/zMPxQxc6
9Zf/MBKvjgofbdHgXD10ZaY0cWMBpHeUKDknemQG1PDNYNLKoyB7b+MvW5AWPLXhzeUph86tXSQ+
MRbGM9B26/zvLMzUwPKi6dmpkU+5PzXd2Fm9BcSBBwsKS5uXrpCzjR+jl97Ajlh/GFOhf6+BiX1W
Kyv/blW5+DpmdQosymlE70d6qP+vxFLuN8z0kCVSOwc7e+KdrDo5fV08osSAUhY+mVBUIplL9LKc
/m+IzoiSIdY62j6OKDWSGnppwewr8Oe8P6ENYpTduLBHcAqBUYdW2dvdyFvRm25IVarA3O/GMch/
VuS9P0oHMn5gzqY7+FGj45dMreObMbjtfPAo7d0ltLMAHEPQoem0+gWozI1Og/IjADSr/G7YkRaU
aTQeFBf3Tt3S9CHjBUmtrVF2epjK3kpd8MYNitx6ErfXMc6/eRgpPnj62ASeF+sP97/t3olbtCIg
QAPK2CTaM5lnG5oAj3tH+YHlg/ZSpYl4gKDdHdQW944BBI7FdQtZS4KVt6uIgH+LoAORijKryl+u
Ymp/G2DEIx8zv/J5gDR4MLW9p446JuUKLv+tPIrw+oInENSgI5rqI0diCrwYn5lKcU0fByv5u9Eq
0znL2Lv3P+p2IdHAVRdZaZzMyVDW28Voy6Esuamxt8zgjCGdjYYRqoh12ARjhygjlTJxsHu202VQ
8viFEAkZcl0sntGLcJOEauZi+/mgK+aPAU+GIPslbyky62MbltZJ9/ryoJW9heLidgl1GqYiESj4
sdV0XQzGmnigr2eCC/1DwZPQ8ocYrKYvbCM+w/KOrlHSgKeW0lPwUYdM8HvYtuWHupgG3W8JYfWg
7TNxdPVuWTzLT3N0kLEOTPJNGQVMt66TFJLPWInzu1OPEAYx64vDk6X1xb+aXZSWD001+dhOsviR
Y3irXk2pG3+mZtnPgGPs/AiRtXyOt48rvwlmEd0RUj0qam8PglaOpZJ1BNNq3skHo0/Mi91ERwDp
7cGmrLDYsrrcmBzvVWLgFAl614j6U7nKrRvCTa4IqixeBLdNbK0P3py9zUcKBxySYgRd/9VonZbH
LpAaAljsGJ/yzFJ9T83GM8kkmCjVmC5dVJpPpivKg1Bld54kU8hJuiCj1kivGuBzBxeOdGFA/Kno
UZpuap4x2tdHdlV7k6QOSGKsspU29ZYa1ee8z5dYLxL5o2jg4QVF6Cnmyc2UAm9ItGJ+r8O2ekpm
Axmc+5fK9v5EMIVwBQo9tdFN/BzhSIJlNNJ2tTG1wZTF6WcncoQ/l1jrmnoqDt48Z+8Wg/JLdRva
5BbjE9seEmRlL24tms4vsS6HMoCHXEiQAk0enySPExYaIOzaYC7dqvIzPGH+dlKvdc+LD1z5mKTt
1HxZOOPGM4BVJfPFEA8femOW7veeLpY8UzNL8peZxiG3YhfmBiIhuQV2107H8IpNUIzlKTgt7yRM
TFGQ1fJa45z3qsB01AyLFmPQuTP8Wfb1y2AjHuU3c2ijKKVr4VMOeEMEpTvb321+VuSroi5038xK
8yWsOqEGuUnzEJdUWX7JnDixT8OoGOXZK+s8xiskQ5bYyRpqZhHvYu+PZtZbV2kasx70IA8VJh2X
ZVBVbTP7PXZ3Y2BNdv/DUijZnQZrdKargj8xhzx2Jyco2lkpA92SC3mxVYrhNKstfad47FN7sbTp
9VPWhrZ70btYAI0DITpyfoVZYU2ej92lk3ODq2iVG99ytFu7lxyiHN7FY69+UpvBif0utHs6H3LQ
jC/v3oSkBQshnDIAe2LZM68Sg7GKcLyreFPTCtdhVAHzYELq5kPC7/5pR07/9f54O3uQng8qPgvw
hi7dEhq+Gi/XylkqdZzcshLWV2B6z7ntiMwP1cj42Rdq+yXvAT/cH3TvSqGd/At5DNN23eQFJOjx
PCOgNSWRcaJ2FZ0VYuBrPcgjM7XdoWznl1w+na11UgzuH+lNOwMN7M35hVsaF/XUCp/aUj34knvX
xzIQgFigt5vg0pqxQMlj+KyqV1mogDZ28oVMC9XV0ZU/rBqZlftfce+Zox7uUMiklLOJLKUz90NZ
1/Ftyh0UvZWQZvY5VLgvDt6evZmh3kIhHIl8alTLtf1qj6h2Z9MrMePbrCZNMIQIL3UawlKUHXsy
mOlI5m9vzWhyousNuZLYYvV+j9DLBRbkdHLVuboOY1OfyrRvv3TNYR6+O5SJqI8HwxL43kKMeTW1
iNe0V0Fl32y165+ihiRSqwxs7hYj8/vLtTsUUDo4Nja5h7X8/auhikkTc5aMfEWsp88KQtN+HYnm
LMz3y3YQlC2VLpA39lJiWM1K2vZoiCpddsZou4g9jclDrethSJIJi+n+vHZuEI2qPZkb+GzwJqvV
ik3gzblqc2MZLjLzs+d2fo7gjZ9It7rKqcs+UMc44vhsU1Z6htSEoFoC3AB9/PZrVhkwmFAlHspH
M/5BW6o+p6ZWu35jjTPcztFABEHavQkBkVr8twh48GHwu3zHVaAJgXoR1ODEc2EvdYJXS+qoDe8O
7+cNkWA0aAx0fj4o3hAVfiXq7NmBtZF/QY1NQ8ezh80WaEpefctVNSe+iMuhOFiKnYMKApUMhdWn
CL/uNo5arqOBDdDDHTEAoPox+02Cg68lmvRsy3C+3F/6nQbZ4pC0WNwgYIlz++oDeLxM4HgImfCE
0n05eeND3S1uO/gAnFKrTh9sB2EVEyLZOZ3nhGJzF+LEBX7p/i/ZuQsBYSyUTGJj/ln9EK231Dh3
eTaTLOsenNCKP3u5Gf6X+VJGpnlE2xzC1+pgNbQ7W8sDqJq4sr+obu5dzFqYQeXO1lPbu8Wj41Vd
IMmDgsZC7ztqNf1kUmC/3p/vzmUCmoey2oJOhG67mm8WonjmDCBC0I2NTiAMuUysdA5sPT6qdu0u
8uL+icA7RLfNbZK3WGPkqYHIe1gb2MSXrWudBlVvfhIjVh/70k2+lXFnPVhieoYg0ZPqFfpjK9r2
8f6sd64aLjSQfqBTuNzs5e9fnbdRtwlO5opZIwL4QAiW9U90t7pPdhejX5aaze9UHWBVv3tY2GFg
tniO4IGuy2ORlFToqKg+asVoh345u0ILQGwVlwZTqiLIW6dQ/bZy2yMPwZ0J29zj9pIfcKzXJYcK
FW+7l6n3aFrSuehVUTx6gzNeFTMun5I2NC6Q5o9AcTtnaRHoQXSAO2RbDTQQKXZEwaCxhuQ2GJns
bPeIHNz/qDs7+JfSIRIRi8r2mpAfpo1LnxBlykRzqhMWKdGpMY1LO6hHrhI781m4WdQDTI3i2Dqc
iOYZ27GCC7ECdeGPRqN/kqBgD26gHUQNCDdmQ05CpW+ToSPzY0mpR/ZjPclxCAZZK6AkIb4HwxDF
ykKAtc0XFQhgfDG0qobFjcdN9FxT2DkSAN35uCwdNxSao1RCNi0+hMPxnsGkNCRZvJSYz34bUmfh
/c9HiMadeaNbQ6zB7UuBE1Pyt4eSqBdDGYEyrV0483PhhfPEO6dpP6CJz3WQaF4tz1U1h78hBAkf
qUja/qMnG+Pn/Q21/0OIFnmQkFPZ9DXduhd9xw19w/05PJVuGQcNvm6xT6EshJHRapdWVFOgx7CX
83jUMcEx7X/v/4rtl+drAEKk2ku4vCmlI5lrAZOrMIJXkeOM+D3+yLUS1JaVH5yg3Qmz0bgheIHZ
cvrbL19BbBF9hHcVfhoaN1JUJ4Yf4zwA5hr0xIOwpC6vpVCVxHdC+NuX3IqaG4o2enVwRe48EuAu
mS+FUZCDCFu9/S0M56XSwshwaFpR+GlZ2b8lQsk+5FHV/5MoRvxA68n8MmXNBKfdyedzqrQmBu8z
AucHX2YbHL79MesPo6kkz/OEbnehFl8EUh2pP2iT81wn1RBkk+ae7cmFYutGn2AwTO+/CgiFNAJT
YI8LXnP1OtdtZXT9JMQtIUWDW0uEHxTNYPwYcV1sgyytvA8T1LJLhC7/F0cqHp6MpnIE6NxefPwM
QJqLGgjI+HWQkJhsxshGTz+1HPmQW/akBDPmwd35/p7fhp38v0njF9wirZX12pfS8YQy4AnamqPi
R04CLtMqu8ts4fEaUa/8fH+8vTNmkEVRWgYDDyT27V4TSEph0T1yu+WVcmrHarwi+NNB2TS8A4b4
3lDIiFOLAZHJUVtFHIXbR4U7cKcsIkZ+RFPvFLlz+VdbYA56EL3vjrVIj5FPcIGYq13jJFaRFwUW
8zIRrW9lgCKtVh3BlllH7bbdoRZzAjjZBDS/1IhfBVIFEmraKDBg7jNVfBZOZn7L7aH/UOa598f9
xdrbhDyLNEqX8Jxy/NvFakOlngs7iW612Q9nswqVi5NmR5pM7t4wlMuoKgFxZ1YrvJqRR1YZDhOW
bjjdxRcHowL5MolJiz5JS+u+o4+Khn7uzHSf+6qWf8coiSTXPgqLNBAlkm8BD8QUg+Hzkq8IVLQJ
bhfUiv1aTurPEXoFYoXhWLZB6TRxGtiOzMxrQ2Qxn/p5onLZCjv6X4yrFEYwdR8CijHiMQnKJoP0
LltFkf7sWLEI4Ny5/0O8PyQ1sFCbRNpqDH0qRNn4sQ5LtrPqjoUMBk8vyBmTxnEeIletTRxkhF3w
pGZ4KplkwMiEdXZz6uU4emdy/hSfoREs0Yuqz+63REvH/HlqPYlatibrM5ZX6Ji2qWY+ZE6Rgw9x
KpE8zPAr/rIzUwv9sOiiEBGmPp+vTgYJ4qzJsqs+Vpgbu8+E+9NDFI0FngQmwCtDKcFET4PS/d64
2eK+ajTNT9JbT5wVtUpf9FrWWAoM2HCiWZPI7ixVpXPOYRh3td/kUV36rdpGv5Ew5QVov1hv/FbH
SNMvCm2qgMk01M1ixSz/pvYfJwcPxc45AA20NE3RlKECuopdwph2sC5wB0/MIXtaHANxX4mAfMxU
m8XB+V7+Z2+rBQunBSlinmpkqr3lx7w6dGHTlEZU4Jrj2VF8pp8w4lMbz6d8VuXZBtFe5Fl80hxx
NPA2iwA5QwViqaWhLrO+WNAx7IzGwV0G08j096RvlO+DNiRuQJIlH8c85S2WVWQfzHfnFYYgZVGk
gQCpIpf2dr4uxJquTk2qvKJsP7p8lIfCkB8H052fEs/8h7amcm3GnkJ82dUHF/dOz5Rynq5bC7SB
y3t973jWrJm57OIbVP3C8ws4+9dJUAbyO6zgH9rG7Mub0YZ669f6nP8Fzqj71BkeyaSNm4U/4tR1
jUV35Cy9s+WoVCyNJpf3awOgxos3n+NGBTVV2gLxD4/8MenG00hT7GB37607ZCMuXbIAnpXVhosR
jtPnpBE3N4/tW5LMqNh6+b/4rJZ+0nnemZ7xUWd+b3pcwdDwgCEsNJK3iy6SKc8GN+RtRm3+wgWi
PYaNoTwnitYdVGP2hlrkDQgEFs3rdRiQSuBnBFhsa6TMfYvez6lvtP4ypsV0vf+I7UQ45MN0khmP
PHz9JUOETwGnYAdeJ1No4FvvRc8DMhCStnsir3GRoyz+7iFpRy79SMih9BRWpycqsQHobBd9lrQS
54SW/1f6T9HFw1aZ0tqoHByYnc2yNHlpXqDhvS1tlYkxUMFQcCn0dJ7obvytaLLyL3DZdjBzTfqo
GE3/4WYCnMyXBa9CpWEdKGfAwR179Mgd47oLml63PypTQfI8tlmA1pZEv6VqDrgvO6ECaQq1atQV
FgeQVZxlNx5hnU1MN1pl4voRJUm86TgQzn9YwiUaIUYlJwUG9/YsaFFb2vhnKY9GO+c+DQ2BH2Hp
wrttpmsZZ0fOTbsTgzvJ/YKMK/HW2/HCNMwTR44YcqRN9RfOcF3gptbRRtk5doT5VN7pplEVWx87
Je7nxEld5RFBbP0KfbgIyrlwsUJorPcfO5hQ8HMwQuEqcVeB/jROXocYkvJo6lH5MigQPnLD+yNJ
aveMGPuRbsrOKX893FoyIgHDbNMfJncXXuwLYWnXySjkCa1h/Qw67ahcv/clAaPxOFoU/zc6ZdIQ
7YS9qfc4Idfv61pX3kSE0XbXK/IAlbw3FKBkHOI5b+Sl+tutMVXQOLTG9B5RAVjmggOHWY18RQyD
z/cvrl+NrFWcw1FeAGgoS23rMG3D2Uod3OHYH8WDPQ4YIYx1Mjy6NO9fRjUkrhvSxkvPmWclPxsU
7wZ/oPQMUKmbOJGmMbnzgyyMhVFN8mz/hgz/LL867WjKswlPUQ102j/1KUcRyPokkPy8ukVqfU/+
j7PzaG4cR8PwL2IVc7iSlGQ6dLvdcfrCcifmBAJMv34fzmksq6zq3am9bDBEEsCX3mDLbo4csDl3
ed26H71uc76izUru7rpbbb2jKeelR8J896uvrWaK0smXDym1UPbDJ/FcQ3gffQtYAGBZtGDdWMQe
GHY9nLXUD8LeBiIfBuAq/B/jNkn9kIMZ/l4oIdewdmbdTnzR6nOUFvr0DeHAWZ105ldf6McRpKhQ
6jK28pxKSDOyKpy8cQV7sHrln4bWOZOjtz/GhZyTNgT/7PXrrjLw8rtvrlu6RY9hfG5W7l09V+jv
Got+2AdEFB8UzRogkd+1jqrN2ytf2HE0XWEOQcqH/Ht+TYwGCZQ+4CInUqc7zvwv4jof6feszvL0
9lKXGmE7jIAUF7US1ttj238ya9ljU9h2Fo51m+ferNS2UMS0aiW/Zgdq9aqh3LjOkchd+73dWs/K
qP9aEIvG445PZzxhM5Q5HxI0VoHlRQsksZE9zj3AeKNUeNsnS1bblVD9+p4HNb6nBgxDdlG1s2ux
aezWy1xG1TODoRuyW+2mrgb15+23emkVHzkbnyUudFmcDQxP35K+L71v3HfrbCe2VqGJ/vYyxutb
d5dH2xtmBGOSxrNERy5DVylwVqD1fPXBAOLyXE3L5kZOu9RTBMSaFjpaUPI91az8XOfZdloLaLHF
ZrjPkFeLn+UsAsDKev5pHRf9ZmY7f77yKy+8DSadkHNJkWhzn6djtGt2iQmkAqctQ+2BXg3exipv
/kyaj2AHSj92aEINvF/bbKLubbZPzVbNhx4D4tiZPP04eQpz1tzdkrd/2uuDtk9rXKQS9xwDXaCX
mz9XW7H4pZXhyDpOp9puxI2TSidqXaOO/34pWANAfk3qZaRzXi7laz5jsHq319OUHuu1qk5lO6SH
2qqu+kZdeOHA0WFiEEbAcp4P+FvSAhBx5KMZpO/niRZqE3a0GatTaqn52XVy2UeK4jULBydV74G/
TLtXFq0dl7aGvEeBbT0t9jjZQMLo9sTLFpg/eiBezvvchywT2uW6Lcc80yWtPa3DaXGYrPFTVjfF
V180MxJvjHlvVnMp67jMUmNvvXTL9wB5CBXrjlKP/Y7Fji136+n/aMbQRE2zVHlkZE7vQJ7SrWfJ
DIb2b905yB4QQ/4sCAL6iEu4mctAYi2HyJwWP6Ub3RUfh3y7ahJ8YYfskEoqbLrRjIT2//4/1yMe
elgX5F1+2/gFehN4uB9MYNsfFuuqQ+e+2V7G/n0ARteaPINmx/lmVEHtWGlA+Yca+3dDWflp0xwZ
oZ0rYtMf9ccANkTcwOwLi1Ze09d8XcPAB6ThwLgP7WkGmC8f1ABx4KuaxrCwKj1uRCBjaMhDhPZ3
+mDCCwHWOJRXbuNLj4wAEpKolPW7AuTLRbPZayrNxrxz0Uv/IJi/JNLF9jqy1Zw+tSnKwSHErPSU
9x19hUEJIMJvn8tLd+hOWtrzZOYN9EBf/gYh5LwGqZkmrZIV+y6om4QxUBr8WaegM34iTV+ocGLw
kUhQk8WNNuUExY0xunYQrW0+zlXpfzG31vljz93cxIs30bxHe+4acuHS62IYAXSf3tCFvsxgg+Ly
RJo0+PAOICfAk8U+DhjYldK8ckNZFKYHd2dbxE3vZrn+2ShQ+bvyyi5cL2Cp2anAZcBVn3u5tYVO
ZVQJ0hMrWKPZdOtHu5X9X1MydluWnSXHYNgAIvTyu8iq8sbCxQV47Qt9jh0tyJ+WDKWwqFs7YR4z
Wfaf3t4LF8Ipmx9PCbp9Oy79LBxkNTlmNco0sSrXF7HQevc0NtMaHMDpBB99hvuf315xf4izMw9c
lf2/o2+gRZ1tvtFIgZ6PWZoILsSBpPogLfoFS43G5dsr/duPPVuKXB53Urzc9mHT2VlzKmxuilVq
yby42oOdB7UXUoxuelT0y/KDDbcZ9I9LEwRy3zZrUqFT9GOmd4MRPOprz1ZqWUMI2y74nbrm2oW2
5hoPTjU7j61lLXM4YsdsRJuho7KuNZo+HsWktc7tavZ0zbyRDvpvY8RRMzKzeSEHSPssuOmdRTyp
GX/k0FyXFNhbZfafnWKkqUqRhGdkOVBKHqZpmIAgpEr+YNwyW+DUNPvTZGwMl0QftI+oAllJQD+L
gkVqdvDE8Fe/a0lJjNiebLd74Ppe5AcmVaCsUWnBbgKrSHDfkz1sH2xSbi3y2wDlV9G0mrgpqrZv
+U8GI481U9h6mKHYdgqgo9YfSP0B9JjdilaE8DEGiHSr91BVU6auIrzW1PtBl6Khe+oxPM1r/bOC
S/JRlRr4by3XpoeiHvos3Bqu5GhbQDeiaOZ/tCwKKoDbk/fOAgv2xTfGzgc4s3hpXHTeYB9zpqbg
3Ldy2WIEupYhbMTEsCuoukxEkvcyhVu2MksZ2jT3Yz93fe4jnJBVbMmpVDFsCL1GkGULIJgsHcro
jplpeuhVffsPTIm8IsDP5Ze3t+DrEIMOPxR3H6abiezXfq/8J5ZOQjo+sz8n0WkmH6RmFt9qoVdH
vZnSnaa3HNfCupZ3XShwWHXXiaOOg1N8HmNySTHjOMJNVuSPvFDYg23Eg92tDjNJAP6hi7Hy71pY
2YhX/O5uHpq5QIcYwlI1XnkFr8/7yx9z9gpw8OXjaB7s/gr7xjaVtBHcwTwsup/Gf/22/1Uah47B
UNQ7x5Z6bsPBmk07wQYhj4D367fK6fImLKstOG4clAeJZPZfl647rpQkhktmH5jsV+x/vjHMPFmo
ZrKSiWvzlLr6ECNtADdjzr69/XwXXiWFOVAB/rULDe7l+39WKqTrFEU5GYkCux0PSDw9ST3X7wbl
5FeWehUXmDnwEg3YBTuq+jwJZJZX9JOZBUlvak8br/XWmMdPwVgEaPNb2bWgcGk5JMfYDHvr4dXY
12jt3RijDBLyZhffPGlHJBNGFJSpFdnNds1O6tWb3Cdre2VC3gkiMjgLe/MgcifFFSMxUq/5nE4y
BV+ldca3vt3wjnr7s73KYfbFaNghiUA0etVotRWoG2wY/MSpiiK9acERObh8ms1hMN1RRds6LFk4
NcGQcUvm9ftRbe2VLvalF0y+9y8Lcpfu3V/If7bOZjKOMArPS3zG1g/Zanv1aQJtOpDb1+1dzxV6
JbP4V9vnRfTlsUlnrABlR3bteUlmc3s3AHuCJK98d7wZjLHGcZgZGsRgaAoToKrch41ZOHDgsGy0
YkNO6a+xnc1E4jjj3OV+lX3ui3wG39CP1Qi1vpbXel77/XP+M2nAMNYFIcvE5uz4av5G+NFEkAzA
GD+Z3VL/9ibrmgjvpQ2HNx0jVXwFd33cl+8/MGGrKROUpGiH5TuWFi4Yq5UZf4ZC0ue399ulJ9pp
YkD6aD+8OkydFeDCxDwjQe1kOZATq7uiL8wrl+2lJ0LoZNfW3mWGzo8Q2V3TUKywq5EtjyqF9i79
1T5MA3qqbz/QpQNEUQ8uBNoKkfQsj3PncfNrAOzJaLR6FnrOZH3ridsflGrSrzWohDyC6iZIXdMF
BJ/L2GS9UgFcOkAA9VAe22n8PPTLD2jUs13LcsXmHnxgFm2o7HmQwUYcbmqn1fTE7LJrz33hQ9JK
49RSEthcxWdrrnVrkJqbbkJJg41X2ww3WLrkydtv91/I5dkJoMIiT+Fy4kI8H6vZwvC1Us/8JINg
1Y9xt42zOJBflB8bBAXkoaSQ9WNjHEYZ+62b94fNmGvxaHs+EJqtcLohGhVydN9FPtqPKq1yLwQi
nmURYqtyfRcgi5O/S728+yY7R2p3m0IYK1oDL/s1IYNNjq212zHb8mCMdCczT3aqeUakKnxZwnY0
rDrp5y79Iluv/OWrqvqoL5Plxyj7rP6NaavaiWYxTN91bwVjstjz/HOWdncN3X5h0zsQSYB+7IIO
9Axe7gJ9nnyvmrsg8XwhToaejcd2srRjJ6v2+PZneZU60g9hNLfDQpHeewVba+s1F5i8M+4h144A
gwThaOdlDClkOzlmQ8mEjNjh7UX/1TQ42wtMAKBika2icXq+5Wjh4nSKbGKCRI92pC5vKQeY33zs
kHq9LUgls6hlpvewTIPzfhur5kGjofFeulWZuFMAh0Rix/w9QJo7v1LPXTgODm8dvRpo/Py6s2uA
wOVsZU8vwNTc7meqOduHNVuG/+e9U07AUTF3ovbZKqU1YnYy+EGidWjUlQgEdVFa57a49yA0qKTU
xu7nUFbGNdnOC7fc7ntIgKAg2MnTL/eWMGvRi3JKE4DJjHoCGcTbEqQIBJftAbN1/VYudXCQRrY8
1W3+1yhY9hvtB5JLNjjOlmdbexuztcpKLSC5dFTSy6CItLJubmqhetSsjPpeBI06jGo2j33tmH/b
F2N5AHnMYwJSMgiRL59+NVCbNoaCDND3xZddzuG9Y3U6r95Drc8Y23gw6jGkgJyjBf+rKyHmdU9s
bz9yzuh87h4A5wkvz7v6aVunib2zd5HLG9vH0q9LI5ZqMx+XzdRaKkQx/C63OWfjVd4/g5PbdyA6
ZuOkWZu13EgGmd/T1CZJae0ie1xgR/dXAtGlKwirW9BKCO5xEs6+0yoqj0EHqWtbiOH7YpYeYIFy
pQ6frWy+EuQvHDmwbpDbmTruNezZYfCyZdFERhlggmplUiqdP+6iq3/evnUuxFbqJwACwHRp1py/
+zbH40fTOgJQtbk3KG8Zn/NVyqOe2poeSTyk3l7v0lMxD9sRHagcv8r+K0uKfhZ5kMxVm55GYyzK
g9co0VypDF/LXcAgBmNqYYSxj4PMs029mUhxpPhzJ60h0w5p89X16UEo67vmS637GKTr9GM07SYP
CQTy2awLW6Mfa9N79tqivy29vpj+fgO9+FHmy5NWZIVnLt3gJ7US63ErhvSDWdTZYdDT7dqp2nG0
Z+EEwo6NuQkX2p5cvFxrsFpPdL3uJ4udqtOcg3sqIOeGXhf0Nw23TQTRwgo5MkUk84UmlWrr6som
vnBiuNhsuvx7V4TA9vJH9OWwVVo/kuETbh9sV4OPJroUV63avxI8Li21s82YUKJD/CrNb9UmVqdh
Z3W2zP6MclKHdFzkF8/tPv31HmbjgtXfCeTc2GfXgOHQSSvAziWjM9qHJs26p23MvStaMhdOJmvs
gEiwy6/bw5vP4NIRZL1IUW1f9FyWN3OQzY8FrzqLqkC5P95+rP1nn22YnYKEvzUcL/QTzy4cWTbS
y/TWT7oRmHLozUPxvV68cvmWGw2QK7sL8udN1OppqaHoRhMaqtcOyOv+Gfk99wOuawgBoMt39iMQ
bfbGoZ29BOXP+TuzufQkRO+MoT9ZLWbplAB5CJmv3RhICHEHRmC7XX1ttq+cn72hc/429tYS8Xif
Up1fv+uWon2ldCcJctqfmcIK2XBmfHwNVI6bvpYfVrVpkYOU0JVw/G+8PV+aRG0fE5EH0gF6eWi8
fqu9ORvcxPd6bzvYy2gfB9y9/dCcTGu6R+SyF6GFGMRNF1jpp1x66acy8LZ3iP6n147whWQ4oDSn
fOYS2cmNL39NSomV13XqJGYjxjBP+T7hDPEhdpFFORq96A9+I7bntzfjhTiBRKKHkiDA4NcEaS50
QPJD4yaNcr8P29DewUX4a4dSNhuqLjvvDnDqq4E8ZWUNwZtHk4VQu0n0gG74qtYfm5G6w+HtJ7pw
P6FeAPd+J/lQyJ7dx2mZQb8rV/rRZdMlLdItt307bHEwzvbfZ+t0oMFpMtLe5z1nn0zojZvW7uIk
dHFAZzS9PK66U105IRf3KUkrbHLCIiKFZ1nzojfWnK6lk2z2MlQHX28blH+aunxKB6NE2H8zynuF
V2oVYcGcv1M90KawXea6jlq9QZH5798wdG/0X/f26auRdrD7ldRrxU41u/xuorHUhTO8uyrWJ99W
V0LbpR0KewV4xW4q+qq1SK/SXjZ/dBOcPuxIMkuKJt2u/z6qUeAz6QWXRR5yfvrsxfCntmMVxviQ
9SxnjiobXyLQN9cc7i9tUAjqxLMdF4XU5cuDjpRh7/QtS8EHqLC2nJckKJcgTjNhXPlSl94dW5Mb
9F/Q9HnWmRdC23oIoonuac3txHogHZf+yru7EEzQW2FGC2wJNSzQyy+fKKBV4sMH58gVTfBLLqud
Rukm5Rxu7orUsQE09Rc5kovGUbPVoZtjRhtb9kxT6+2t+TqY79ZmgPt2GVmy7bN3O2ZMzP3CcBIP
ENXDVFUTyErpZlPYt15zb67SvFY/XFpyhz/tJ2HvL509vAtitcjIkRMTptoNvKVdEQbK1THrluZ2
sdS1bu7r/UN7AFg6H/VfW4az0E0TfWosv/ASCARTXDYiO9JPcg6t+HufUuTrIBWC3QNXB0j2bClr
0fFIqhw3qTW3gTWt13czkqXHYSz1KwXL/ppeBuN9KUYxHAly2HMhCTIwBs116iZWL7yDnmJgtcrp
2SgW+1CVHi3R3E+RzhowaFjL66C712k861P/7fx+1wXN/XIP66Wl5cB/vGRxAgEGIhMf9akw7vQp
HU/GYMynzRKdCqu0NYvQavP5HbI117AKl74tdx3dMCArr8vECapc6diZl+ij0RxNyBWRba31jWEy
r3/7qFzog+3gQr4usWXnqO6/5b/zkg6EMZxvNwF0jYAqAmDmz7rMV4oWX/tUg2A4aU4TfBRicZNl
aQsjVNA077dan++Ebw0nVUzlk4eH75+3f5rt7QXa2W5geyMgg5wgwsPn59gufR4dzGeSVlkwPZN+
9faH2akNLbI0yxuO9uaiYOYhWmbew+qRIKVXbV3DXWHNOC65El4fts6AXFdRgQZ0P/S91o79vVPZ
TvVIxj8Wh6Hhz4eTWLoinLxq+AOWze9+ry1+VcfBAMF6L/W2NO+HgOnuJ6egIgiVs8z+rdlNGXCh
Ve+2f/I6GNvIHW104zQnWMsDHbCsfAb0M8zxZK3KOmme1Rg30jekFQV96toR+t4q/ePVSDGAOFgQ
Y8PpyMvKh3GaBRKl0NOXeEIznnBkd+q5dvOyOoLIB8OVNwjTRZmGvkjU+qqRMfktM4kRed31fV6a
E417LRjrcBTlcKvWYk7DAk7CEiLjj4Adckjmo190TFDEOCA+U1Wr0USmVYzknsCjfZBGy/RDON3k
RlhTqjzWB8X/UxRp/oh03qBuq2Iw0pssHXTzMBsbuO0xC+bxS6WsxnRjj+a497zNwsiOrT166aG3
AHYfFr9YsYYAQ7vVX4Fn+P39UhZGezeXztodRU1J8GPumkWPgLe7U9Qupt0dihbrpLBD9lN80Ote
q9EZ3dbvYnBaO4bpUX+UqNBrPwyr6d5lXWXpMaz61pmTcRuNXobKzXT7oV7xqokG21rud24UaIpJ
Oj88ZTrpo+GOdLtRuBu+Ou4wVTHywoDHDJmDwoJZbeohSmmo/qI7ok+npUrNL9D689+GpQIyLnNZ
7psBsubJ7dk+TxBwm2dGHN4Q0q2v8hB5GOPbmpra+B6y1mKEwmildc+cx3rnTO42oxZll78U8qX9
lzyr6/VEv3m+Rzeqax43QkJ+KDLHLMNyqlb8uBx3ucUkZ0qP89ZNX5CCMYN4NbX5yUgd507XK+1L
sPIPmsXrSgwuvCZSa57+01HWOaEu0mqKZ7luKCIERusFoSq8fIugmXTPDbPcLMK32XoUNDmmOxf5
PQQNV54xtBplrdhJDVsW5twvn725lc9y9JUZB03J5EIHr6PuqlQ01qnSCkvdFJNqf0O16ue4lW31
A6+/agirwBFW2FOOHjfpFs8FsiHfG8/QnNDVayS0Mm0OPhdjjqmJS1dahdmklg9ar5ELlmVfjGHg
MJwL1eAWxtEG2BkckTnE80WjDI+XNGXGmk+eQY1XNG0iSzrBN5XV9Ck/0i4eSrGmv+TsG0NsGP3y
WWWrm8c49PiPLvpx7RS7YrG8D4uRNnZkFalyjkzXoSsIu88l1Zky9K/WiLBeUtdu1t0JGBGpFglX
emtsQZsG2Jc7IK3afscjCtujvp7HPEiRxJgdMj9lWdqTZ/eNd0e/TX5uJHO+Zx/X5TJcR5XmD4Yo
DffLUq7VDckqcPqiy0eQunhhzfJuqTIrfe+ZRSEeSqf3ugiFyeCOSbksD5kWrA99oC8/pnKjBwZx
ANOB0hjsD31eSf1xQ6Yp4CpEG4abtLZ/GoxAqgi+arDcWv5oTycGkeP9QiPADWu9BVDTofuCiiRQ
bvlYlAtIynQahjjYIImEqWVMIM9E2X6di6GA8GCrbYZeTm/uUfVj/U5D1z29mdK+mg6KjlLGpmtW
B/m3onvqu9YAd7zyxgZnGz6OQ9XNX4xcpfUBI0Xz/aZk6UF30fTvbu8P7xHUlTbylqNuwO3uJKxW
2lJriLr15oW+lN6jhzCaDd8HZbJ7o0dl4wMMPvltExrnw8p88SAwkh2OOfEAsKio/Eh34elEqIEP
a+RauG/FLbKG61fsrypMSy3gbHfdZhT4wGRL0X3NtVEaJxuG+sdcra135Nv6wTuC/aoiN3en933a
ZUsEJnCeH/rVA4qGKownY6sQW4VUBAqAYV2sYxPag57Xu1PbNBzrynSzY9+SThPiDFUfLBNBfBIS
ozs6jSnKqMgm0F9TZTo/lb1II2yVWSMATxUX0shj867YhoXeWndPC8iXH3hTF789T1iPdYN2DHTG
tvxVjGL+pVeeW8b9lI1eOMMswLhbrfZHOuUlyFRj0yHJsP++EpDHJsavc/0nMIb04+Qu4123tOuf
xXcXpsb1qj5P1N3cE+0iZVhgR/J1NrcaI8xa28SxbrB89ayx/6dPjeIjveQcw5uq7g8oXxoYYhST
/92p6BmH/F0MFvEu7v64PnOB21TPpy4xFDbk8Tzl+vvO16ohQd+5eLcpf3ajCkR5GsopcPMIQan8
M8LbvUdRwq6OSt1r+kQC/yxj5t7uei871/maAwlKMYdQnh4i4r38mX0mNihpYRzlQyZ8EAgg26Ej
HFSGa9fJ7u267asQVkuOTvsqRZxOI/eZU3kbrWApRz4Z8MAPDfMWppwyW7ZIa8vi59anm32gqMBL
yJb2+H3KOqP/uix+84XZ4qxBReoQ5WmdnJsWZyXNS9Ta54mP00THvWEF3+dp7X/auNjYB66iRv9n
nZbBOaYiNfBqyFfdPsihb9+ZGHL/Y6G+R5CfTfmgNGF+o58gt8ixRrWE1kT9gt81f+/Ud2vhxsO4
AHsJZb31/q0HV9qCGzZOmLWLukAWAtk3RM3drv0wb9ni0PpuahWlo54mpJLeN5dir4posaWf/BYh
28hfh1E8kkKaxJe66GHtBmXQxaumbT9bb9KdsFOYrMQCiAK1o+eu1u0iTb+M4eqvxmHR6kU/mZMj
bkZDek6sdeWU39emtz2JqRvsExbw7HFgT8sXUYOnjJQ0PRXlflDVfJGBgrsSQHOBIjmY5ZEv9O8w
ctvWGwf1UGr+LN0+yyznKQNwtU9NV8xGZLsz2onLajVaDic33dxfrRwH8fXttPd1KxSsyd4fQ+Zz
12c9K16nidNg55WRNF5jJ5VWqjmWegWY0VopgcJMT7O7EUno+1J5xnClALtQeiAThUAWWSYItfMi
Hra4XhPRjCSogz1Jy4pH2MBN2LvlNW2SC0sBXqTXi0I607DzWo8Luak1yV2McPUcZ+RRkZem480q
+79W/OGBEMSnqWMbdJfPK9jO0rMunwcnwUrUOaRoqx+zuck+vP3lLvQAdkE1GrcmXapXk91ONkpX
3ewkYIi1LYQI039ZuJM+Wuksji7SwT/fXvDSGwTYSvkGURxC9Vm1Otmia+Y6AJBJXnkwJmnez62H
klddXdMVvbArd0F3+BxYF+BiddZPXSaIgtgO2lw9nTEcNjSlD2m/pu2NTLXxhBqfj8+RnFtiY2/g
M/r2k75+tft4Yt+RdAbQbjh70qYaizbrOgChMrOPnl6kd2YNthZTXD3G32i90tOl/L1Qe+ItSjcQ
JRRAc2fHsCHN3ya8Y5EYzLXnHoHDFO8GfkXobsKqIyGUXkUS19opchtf38JqHMf7IbV0cFktLoCH
NYN2i4tJkFf87tJ/Nkc8kEL8WK0ytDMdr3OhE1MJFVaHFdGgB8+rJTb02XaJqrj2qiwjSTTlVzub
tOXr3A5mFfV263yb9MrmotKKCmDz1rsIN6ckbTqq4uXR1hoYNZuQPXnThKgMxUBfaIfKDGR6y19J
t7ve3m96MntDxHnPZKZCBHf236fgTtancfD84qBNTe+flqHOH0Wvr/Z3YViLhZGViU46CaWRRT0N
PxRhcgJcFtd9oDWhDkEtPbmZmCmOUmN8CoKx2/Wld7esd2VjYHYN1MJE4KNoF8YsQ6O5ka7LVMV2
YSGo6Ze6ZpxoIy9VPGmZgydvsBhtTBLUKoRa3KG7GTBClsfMNMv+3eQaCHnAZhjKzx46c1roo7Fa
3MFbHvqD19s9okMaaK0DOXXlfrYp4d9vCxj7qHSlpaJeldsWZRYK8qE7gm+g57Pqj0vjT/UDcG7n
4+YEZRflAazVw5RnRnMwgqzr4wXhd0DlDAfsm37qtudl2YwvKco+hOKm77N7zfDGNmS+Reyxmw4T
3KFoCnECxzc8qmCHbqFI0gTkSeay/w9RYjyYWOHA8aTZnYdrqm0+U8Cs1w5yEoWMPCSj6FUopxyj
tg/GD5rlN0QG4pg8anLgHURVt1qf2t6tsU1uAneWoaxUPbxr0mIQf8pNtF9dvcCWu3Ds1b8rDD+7
R0YU20hqqUpFIHfS20FU2LwGreajQKnX3XjfzObo3KyaS+ECVbv5grXv4ELjMB3OASCAr9Os3Nu+
X8zgNK5GCbm6ydZbWTuiC/vCSafT3JTGFkvXr7+pAtYfQoSTnYf1UlkfldMH/1DmlB+XYDDvMgaR
WqRyp6nvex+UbCi6VgtuYMirh9peoVvO1eaVN8jlj2k0VgwKjrIuSRwawMhdjOem6kOOqo7e0mD6
76ocTSNAyS1aYuOQtX3kTk33bNu45XEE6+CnnTX5zLnZevtAsqUzj8wy6CnoEhhbZEKEcVBN7KYn
pbd2da/XSDTAY1zTr3bTbA0q/H7xjRzRqyO3drZPAW3xP9M26NthyOrlU7UtvTpp0M0lsuTW/jfL
paiOlZjcp2yTO2ND9ySNoNZp3/VTPXQMPh3rFyXApj2sc6A+zi3KruEExVk/1H4xVNB4Vs87pb4q
aPc0WFMcO7Aav7Xa7VcYLgAFw8lqrAZTAWd9QvJuaKOcHqMZWtgYNEnQt+JUjE0QRBJF7i7S1yDT
I1L4pr1bCoBq6G7pBR9LSYjHW6CsLsw1Kz0UVZ8Goa65Q3WkorOo7nzgDxsMx6M154rphpEud8qc
ME9m8LA0MIJ7RtpeJ+dPUyF8RpyBOX4qReeZMbAC140Mh+qLyVOtwg3TqG/ZmNnmyRmyJU7LqUd+
jClOHsls1JNKWMt0aITAy75aQTclGJjjRmBMaflIze1+b0yViysh4vVUBVE/uPV0qoFyESVeNk5r
A5Y5wixWsu0tFEbBY2xOWXCtP7v/mZc9UJYBsEXQo/f+SgrG8FqKkqG0E5CxqgxnZxzfB23ZCs7z
3P5G8rN9v46tc6pyxEXDwC17d+eQmkgnWuU/b4fh11kA4FnETHUk/0hNz5/Z3zCY9uiBJFgcdfdB
Sn2qmaa6pe/nfaDFV6KjGKjQt5vq9PbKlxIAIHP/Ik4uTOZkPYymN45WMgrT/7CoxaDGWJujrfz2
3Wyk2pWZ2cUn3T2ggWmhInqeWtk56oZzP1jJnuqFXSC72B+s4lin3fc0aNxvlEgNvUoxHd9+0Nc5
HdLpJHQ70ByqzXkCrpUTpETLNRO3zjYksBwVL2bl09XS1ytLvU5xWIr2FQJo8DawK3y5g2ltVGXp
ZFYC3GGL62bMHiSX2XvEuctjZTHynFzPvZLJXTg2u9Uk2Sp9fSD7+4v/z7xhctexU1upJ9IehiRQ
6U9n1a/ZCF7YLdBQeH3YMOK+dD7H7ae8KxDY15PFkO4Q+WpufgSeJR/Qeg+Gw+gXzhVG64XPxm6B
usO/wRCdY1oLVyGAnllbslbcoLqTF8gotcVRaX5zBbHyeka2GzeD1AjIg2n2nn02rBfNqXOUkeAN
sh024Zo/dmmxE5w2+1agyBBR3wnEBxRVPvKpV26kC+8WmSgX9QtUH8BXnC1f5FXt1YxrkgkVuIOY
gPBWbpmSlm5lpGb7/zgQ4FL2NPxfwY1zfE5TMQlrpL4lkyn0qN+qDhnIYkocZ6qvgMBei+MBHmBz
7tAbXjDX+svNKRx3bh3l6kmTdpxsXfPG512+fgiNORc/gxqvHISxrLYPyzLQyoiSb5EwRYXxTsmh
guro6RM2yUvQ/nVxyU+jqkQ4cB+xn78Ge5Cjq8i9kCYtnCdhWesPY1rKKp793v7ZGzROrpzUC9cD
Nz24KITP/sfdeWxHjmRp+lXq1B7Z0KJPVy0gXJB06lDc4DAiGNBa4+nnAzN6kg5y3Cd7dpN1KpMR
JN1gBhPX7v0FDifrymCVwvLTjQRSBmiLfS82ozvNCoaMWtldLOaHTgdt9XX3+48f438GL8Xtnwdb
8+//4s8/inKqoyBsV3/89yH6QfKl+NX+1/Jr//vHjn/p3zf9S9129cs/Ds9l849Nl/98bqMiX//O
0UfQ0u8ncZ/b56M/eHkbtdNd91JP9y9Nl7avzfHMy0/+337zHy+vn/I4lS//+uePosvb5dMCHuuf
v7+1//mvfy5C6//x9uN/f+/6OePXvB/d88+iXv/Cy3PT/uuf1Bf/IDVjgaCCcoKmw6JtPby8fsuS
/wBOsohLINaFoOXyrbyo2/Bf/5T+wFmFFAupCZXCtsWbZpNdviNof4gSPoGoo1H3ZlL993Mdvaq/
Xt0/8i67LQgfGj71+MxcXBCAWqBuSJSCGc47KqUwopqVyLPgsUY3nZE8Ki3aQtmvnLtROgIVzbdd
+pznn1PjyjR6T9IJYjDrwhSFS6a8DeXaE8dp/2b4fj/m28c63q+WpyLLtNTRSV8QPrzaPr85cNJi
9E0qt5bXiSagIVQQnaFpLa8Jlc4DVHc2cng3DMB6wA+hY4lAG69iFRiSzY17jiUdIZ60EexKz7Xs
Gr07LBJ6RAsVO1DUusbLjN3F0cUuRgw6yYUHTl1y7JLf9Lk9wnu9JiEZ1XYWwP2xxU5riP7ERriT
qrD9UmFSVnuQhkySziDbqWCOqvy1HGeuo0Efzl/CuNWeEJUdg61vTVPp9qY5xA95A1DHy2RtJhNR
gIneLD3RvSbtGgm5F9IdW30Q69QurToyL6js8TbTOAfMrM1ye+83+H+g05DOm3KU8CSLZjPYCjrQ
NDcVOvzGUgrFmzALRN0uSoWLeZHmwzaqtEqzxy6PvwRapihcmkOJbFGcx4jLcmv8VoFYpuTdVOGm
JMintCTJaUN2AlCxGyXqQrjXRgvnGstvW8cKAsyWQMsicxD3Rd5S8wNc4qjAVn+YfjWGNhFqZV0k
4IFKJ8qIE2xYLwX1g2CYbhrF7EoPtQOGV13o+PYspIVuw3zKWi+gdufbCPhrodMJgqbbophqn7q5
qidnLExKcFyhuBSlg9TuAvwLriVBxrnx9Ow9PuyZvQRKBEkK4SBRNxmw4xNJ6OIoHbNJ8ciMNHsK
oda1nlZiaReCpAqQRkaqF0JsoQiXdnLpgFZBce30M7yf0Jy9iz3sskMQt600pBs5KM1U0iWvqA0q
YGnUokK5JMewpTVy0hqlMGSa7Y9ihYiDYVrN5vQDrM5l5PlIoAB1emX6s4lpqycAVCDU3ZyIHiZ+
yiPV4uYWLfDBnbqsvuooJ5OuDvINxSPLmf3IvMLaaQAXkuVcSMLADfvWOHM6HsexPNIiqIbr6UIe
WwLNZdt5s60Ygl5GkwhrJpT89GCpdXdDcrj+dLrnH7ZClAz5FPVrxKyOWwnGQI7jLpJcWRnzyynK
Uy/1Z8U73coKurd0BvA10wwi2KKFZKzSq1VM8q3w6UxZJOat1ZvafVe36oukBi6+Reo12IGvbM2q
W6pBA1ElOcfNXM2xd0+w6qgpFSKaF4nkDqP0y1Dz0i0gFTgxtj2IKBjOEPiTjVhIfibkW62vd+0u
cf2b1wigtlCjKJPcHknji7nUhYu4Up+qsCJvRv603JRxMP0EDIRKaSYW0+3poV+dTq/tY9mD/BRa
DggEr0ZeyIW4DCD/uEzqYOOrme8gsNlRpW7SC4OL4PfT7a1gxH++auJprrUQqxBUX4fvhZD58qyL
rmxhfiWYGFI1Yil/ClMd9UhjjPdamlh3WHX017OkjS+TnhkPWhoQ555+lPdzG2YsRS5SR3BIQAkc
D30hsjlPVBpI6Ey+zRqT78HaJmfi5uMo9rW/rFAZCxqGVwIKftzKYBaSUpS95MaqGD9Cfpv3eTIa
jxqCYja1DOwKgjD1z1wH3/cNbiNROjqfxNCEXsetdgAtKF8znbUSQbWYJJg394iMnR7B40vn0rfF
ZX0p/iArSly4LKo3k7coAm3idYquajThZszGalv07IiZFKffTjf1fp6S6CJXsBxEOFqsi3VYOxFj
ATJ257AfDrk1FJ+FMQcIWQqqV5TBOfWwj7oGAhRC1XICQss57powcnvOe1N0i6iotlovpESVQ+yi
bBeeuU+vGJGQX3Q2PZnbNLomBNbq6nQJDZ3qRhLo1MibfvYCKdc7dBi04rsy+VXvFLqc1LaEeQEg
KbLHO1lsitydgqqcrjKjJI/bBtV4i0m933lJ2QIwGyNjktE8EDiTT7+J1cjwtETWiDwtvoLkbpRV
RNAFrQoKK5a9KEVgQmmnwk3aeNyICrWp003JS8//Sj4uI0NbpgGJgpo0m9RqgklzN3d5Mslep3fi
00DJBCC1rzWf6ryzagc/M1O20YAh6RuNowJRKjDVC8mIh8kBYytiWoDW1wh5Zbaes5jDZaMmPvLV
2aioj/AHxNzWC3iBLg4QPsUPPBOl/elOfDBehE1/OsdC9l3XfpOE0hGZGMWTJsW8klPFvJjlero0
+qS7P93Uaq9ZhovdjNgegguQ03VqJK/CJql1jme1DaUtQvvznTb7DYFlXOMYkYv+o1bF3ZkdTl7e
+OotGQppAQ5uMuIEYsdrpehMkamYKV6WR819XFV+7iRkwzdS7ZMhamupDx1Sq+O+TUZpIGlBEcOJ
/RDeWaI0ub5r51pCyABIw0Wkx3Ox7boo2mo1dQSnb6woRxRHTrXLMcAfY4u2YxW7SEBiFZRIsXkO
S7/aPF+HkdIrZAX2T1SdVjM8N9sBuzNuKXIdtAerKy3XGOfQPf2ylh1kPWpIaPKikKthQ1uter/M
hgypZ8lDaSW90vtO/1mgChx4UYslhOJn1SbRBpy7OtV67DiYzhwRH7QPtFlD3VWFfQcG+/itZRy6
DXqp7J5BflXXymUpqxehUV0DX3zJOrWzc9P4rCrlj9P9Xu3ky+hacE5Y1FjqmIA9jtutcrS58kHU
vAwgLu6TdbPHxGSgDFZFCHcZxt8eZ5PNCj4bzD4TRZjV7ASrr1uoiMq4p3T1lVUo6QM04HyfcI0G
3haFimcJsrBVgbg6+NMgr3i6w+uQhx5z9WdtAKkh1ELx4LjHfhRR8DUqehwO/oNhZGbtTGD+cL22
WqxtCpJnZCF0pD7sAs+X2BHxbbRsXenzT4A5YQGdfqL3E5zcDeSGJQvA4LxjjIVE4UKtqB7f1Ryz
yn+ByUrPNPLarb8m+CK/QwOkDCkjiIuQ1qrbhia0DdVh0ROT2J9tLPi0H2UTSqML/99QNxmb+22U
Sxp3x9YwZQxwKEFtB3x/4b6X6TdANUVqG904L5p/mE3YhWg0lyGqmc1GiaNcJoVTABhXcfD90iTJ
nO2CxIxRjS0SMbQjwLvC5vTQrfkKS6+wkOM1IpPDZqeuppMVYASUR6rsgZPaNIFMIBvrgy11mf5j
RgOQwiO6f0/RNBpI8fVVt20LeFW2hByw14CMdtQo1+5UUIKfTj/a8UHDeIMSQfgK1ggPh8LSakOx
BF72lNSGC6GicgHEKKMtk8K5MwNJ+/w32yItS6UBkc4l6UbO+nhKd91QNZCZDdfgZEajMMhc3Nkr
ZzTE8czyedet5bIAo5xLOHA0PvS4KStUwYVPnemSTwKkPg6GR+am32pGatye7tXqns8QLm2RwUQU
FEqysWRK3wa0KfBbcS5pC2Tx9cxTsSF1vdNlkvED7m3twTcBHtjP3UbsLPkiBAhuW1UCNq6Ly02V
BOqZ++H73hO+c6hzsi63JnMVAcktTolSgyhQLKjTBryhRkJvgLVXT+fY2OeaWoW8BiKVcp7SVBQW
tTeR1XCMJmWjbJFhOj3Qx4HKMs4kKNGxgRzH0SOuvSnBUmaW35m6O8NguO3FevpcGAH6d+Nk3vVN
ILlJmitnDrz3S3dpdRG/o3yM8M76xKunfAqtHrz2hDjwQyLGgm2Nary35kbeIdBqOuDVG1sJp8LT
AfpfsacXt6Ee4agr1bKGVIzW38/gvv7+S+Zas2iikSZW4fAdT7s572P0l1qDWspobcqqnd2x7oYN
LBfROz3yH7xkUvEMvIIYLSW01aY8FEGhDrj14m5ViDt0KfWDbMnJNcqp6afTTR2fMq8vmaaWfP9y
zrBrrnollRXMnqWpBoCKhqOdLQbTue3hOHHzuxWSR0vAi2LjuhU0JupSVXzDDUcjjTdyLGnfAMSD
GaF2Pdu9bHU3oIPnSxMK3ZlpvDrZ/2wcchiDuYheICB13MUGGRU1DDrDnXWluyCT3m2CpFJv9Mwv
KWiH1jYAPPmZtEa6yYwq3RP5R88BYgvVmV3yOJr7/SSoYUDZM8imrTm2Yh74pTXmBnnqKT00s5/8
aPRqvM5Gs9kpObV7o5DLT8Ygdo9l051TPfxgQSO7yppiz3898o8HIgGdj86YANdFE8ZL9HmVzyNY
9U3ctY9E/t1GS7pzypkfdhnJex01tdei6XGbOjQEwRwzw0VkdkYiA/PUgsvvvgxN4TvH63Q540D1
eWimcRtn+jnZxY9WEqkjKKlct5bpd9x8l0hJbI2V4foQdjahqXTg9RL/0AJI+Xl6JUnLGXcUSiFa
+bat1dYslsWAkd+MkZaW1TZXcA2rg0bZ4m9QXUISqndGYgCMT+f+TgPqfi0CZ/6WK4V+6JIp/B/s
IeRFWNvUBhZX++OeT+oUdBFAXxeaCtjwin0UfPMvgqHx/7Gl9cYoBBhvCrSUgwZ3fBJti4ylRLkG
7dczY7x81vsx/qtXqzgjFSW/T9PGcKVSH25mPQs8uCryDUQg0OdV7Jl1YTlpZfip00RKf6iHYQPN
6ty98MN5tdwYyE2S15eX779JqnWLjTXHgQFfa6rdWYMnJQ+tshmlyDzT54+aUgBjEMgtKeA13CAE
wYTUF9uXEo7qNq1bDbLvqLgp6Z3d6eE9vvX9uT8xX2BWQ8KDVLCawVZamoI+EpwOOeVFFbvMJ0us
u0usJjKkkYz2DI9g2XnXb5Ozhw0Rcx3wRauZE8B2jSOYly6kaQPnJlCrhSyPZw6Aj7YgcEtsAuTu
FoOF43cFQSKTK4lW5llqLqphFq5RNyDuF6He1DDxHauNlEOmKvm1MqCuenpQP9p13za/mrIjCnpG
3S+bvkbePm1CE4qWnm3DAc/ChHgZGKMcb083+uHIopRJnR96uLJOaGt9IBYCy4A3qcZuquYpmKP8
HN7uw6mJzRxhL4E/Gd/jkRWiNCtVg67FqWhiIgWzRww62zB87cwgfri5sqZIEJAtJ+G4aiqpiU8S
7jnwgEBAO0JFHkSP2hHzng4Z7QgaCoCnzayiOteVXyvNmJ8ppouTV5LPPTOjPlwni6YCnabX69Vf
qjUOKKDf3bjnjikitXlQ8VY7NLFSud3Qdvv/wdt8097qxiOGUz5S7KfzoVU6FewGW6a9M2P80Zwh
NYjMFI6uyCos33+zp/lZL8CBYW9tUiG7h0EauMIQiv+DvrxtZbVztvmQSdFcsuZBh28xPzA2TTlH
3ukR+2jNE6hDHCJ7xjV41ZdmJHuZC6x5FBLri8kIIsFOsFH71k+Uz+xCiSqyd9yZbaOuJGmbgjs+
8wgfLI5FXAjNTN4cW/cq9EitGBORLDfdcQi6yw6roY0PqQwSvqR+Pt3bD7YYixiL9Bm1Hqp1q7Ne
F/1aHFEMdIE059/6tB5RJdecpinKp5ojbJMWvrg53eYHs4U2tQVrxjWNO//xbIEvK+ANRptBhGJS
GMfSBZIn54pXH7YiMx2pkKE/sT6R8FGBuF+npts1ee6acvFLqZT0zMT/cPjQS+IfABScscddSRul
Q0CCNxUpmeFzLpiJp7DjfZvh+t+QX07uhlhSzrT6YddIvUE0I73HRe+4VSJxRQ97Wq3ITRzIt6qX
SXi2kivzKasjFm0QAKfkZhbBotXW0cgzavywS9xkGJNt0hn1lxb28cYMs/kK67f2MZ6VeVvlYu0I
4iBvk1Ke9g3kMM0WqupcSurDoYb+BvoMGSCym8ed7pG2LNDN5LqJ89pkD3B7gP/L1TYtp5atOxsO
k6oA8Dk9WT/YDhiFv5pdRunN1hZGoSEQNGEmNg2NJ5e9/zILpYFzs4UPYoCAiG0otYWRojY5LaoT
Z9r/IGeF7y3pIWwRKJCyUo8fIGrGoE2LwHTrfEw+c8ABu5VqrVXs1GyMZ7PXhp9zo8+THbSi9FjI
ufospJRR7Ra2SOHhrAnPooP9fe5q/io69G6GkNkgxSMRIq0Ps1ZvQ2WEVoe0gwJwBGBrAvUiFa65
LZvXGK1KX8dO3cZNmzqx7MNP0brJrjt9epwHVX1pav+bYaQ++rjQNCsriDdiZMY3WPfAP0KJpz+T
Ivpo4VCioy7B1rVAFI7HcoI3aWborLmgXRRHx/1uL/r+OQj6RzMVISOLmi/VTYTjj1upwryi4hnz
xtIexYloEEbbMvxhIynBuLXySQ6coBD+rhcD4TBqVDBegVCRSCQyPm43zzFFNixuEaaExiyWpoFX
G2G6iTEZd0+vivdZGZqCQwwTFY848pfHTQ1xKXQWgDdXHPLsthk6+IDx0I8jcCVTyTx0URCLayG/
PxlJj0DC6eZf5fWOZx5TTlaY7XQUnMmyat+syqHspiwzA99NOr9THTRikpdE6IihQBuq13EqW4Ed
daJ+pcX5OHt6OzwIqAOGNszmMrLVPJzRCRO7zHTVeo6xgRUyY7QbHVCx42ttHGzFqlefI8hUvTPO
vt9uOCHlaxPB4tiWDYyzvMAQ63tCc/luSUw+N5AoZwe9maLYZHlToyaQVeNNjhBIcSZCeD+RF2Fx
hXoXmSn8B1fHNlqdppzHXLcSPPG8pjDi+5os59/OW9LKgstgrXBoreOQstMiLbAScm91R1Unx/tF
m/uXRM7GMxiJj+YTrHn2N6qHTODVfDKBGVpNR0tgVsu9ESvyJ7GblY1S1tpsC2NX/UJVzRsETTlX
E/hwKE1SatANmNGvWeU3UwnzSGh1GlljLnUSEoNj2Xicq9FWESfjq49059bQy9IOTKPZ9BFHYU2t
+pJNTfLiDNCYkPh3KJsOd6fn+Af3luV6yy1hQW7xxSoKbBuNMy7tSUBNsPMoOzXygw4c9JE6kHo9
amWQgY2Q0h9ToODaVLcm4MnZZBE6iE0HlZPp3XTG/eT91sYzIaTFVZiEFbXl43UX+Xpo6RaO78zK
4jqNW9/uun7+KalF4Y7VjOxelQXnEDTv42EmIeBUipoUwAh8jlut5ZBFiL6oG83Z4ASylm+4R/3E
6tY8cz1bYXXIY0B9RByVqUBQDCp01UEELRoLEq7gVqKZXpjgle1SGYN7tpvuKjKjGFGScJCf0rbJ
Nh3sqW2BSxi54Cq+l+es/GFWavgTdqp4qwuoA9opgl1nNt93IcnyjEwM4FCsFWmdn/ODQAhLAHRu
paXjbafVwg+UOPznJtHn1m7yKBS36EWNvzoe7eskz8329NR8t2RWD7AKxeohN0NNzQW361Lg5qH1
ae7Dc1nId1vC0ggXMAJrCc1raZmKb9ZljPJGjE2f4KITd0Up7yJJldwZBeWq1vrLVtXutaY+Ex8s
b/foWFnaBAXLnYu8El8dtzlU6CzpQiS4sFLD3B4CjLbw6ai5zVZbuPnC19MDuQLG/p5uJmYscPIk
bs+rfRxjQlA+WGO7htgtGk2B5saNNab2FKv1r7HPqu95YWmA+5Bvm1AuPOgwuU8/xLvVtXSagGHB
a6Dbvb7DjMyzECqz4EagZO2QDY8KqKgh8NqVD6eb+nDivGlqFX9R4wwAzDBx8nxU0WQP7+dMSnen
G/noJS7W7vz/FeC3amSCvT4GGPq5spyGvpfP5WzaZmWKWz9rxC/IMym/Trf4blfkNssoIXG8wCWh
MxxPG6GZJlBYlUU2yW8uJTOdDkZjpHdYoiJhg0VLuslnLTuzDZxrdbVVJX4b9OlUW25vWcgzATD6
JVcBkoKN1btwXMsrYWr8M8fl+zfI6bJ4QUIQwkZojQ6sknnWxxAvWTWOjEtVzPUrSQrS/ekBfb/2
aQVsymJ2RXBprLo2sL2Ys9z7bmpJk22FPbj7UKViGw0zTqXWlAXbDCr2YBdxGp2ZP+9vXNrSug70
ntw59Ovl6d7sPEji4IBdaFi2W3J83SzXLKfP2+pRV5or1CQk2PhVuZ9QiX8wqsR65oombnRq+WiX
QyFWK7RK/v6AEOpBsoINsIAljx8JXYOozuvKd+PaMkH6FcluNBT9s1/jh+CoKAgeqlzHPzaX57NC
zMr7mQbvyiJjg3WFjpzOakUNUjZB0egDL1Ra8zJYUG1OMBZz56EyLIrc/ol+CqPUbuJAGlFv1NoR
qkiEITgLT9ZjgiehRtJJq3Rti2BCpECUEdMvnPbhFwqwt4WvwOsuKf6oXtiEEN7DRMExx/KLirJy
IUyR50eF+jXsOivcLhKqADOKpr7FbEFR7VyQhjtV68WbTqkxxY7FrIasT/qisK1GwAmhasxetymb
gZfuMgVQUonYtrjYXyo/YVuMv3LQ91fWnDSWlxh1/GVsNVjwOVVe8uzjrD4o5VR8roHA0J9yqj5r
kDEPeG2iqoGuQ27ZlaLx7xwO8OQgy7YIYwN4/zG3IzIbGsairQ0PSI8guhTqeAGVs0c2w68njKuL
oRxJhkftzsrSSnMMVLS4A+tlh8SHJk/A2MW6+o69QBC4ejWLe6AqHTJeeRd7balEiquXZhHeCSho
OJkZJ+ZjomBy0iNyVtW5Qy7JREtGM4WdWAUWGIy8q9HJKOesNuRPErUiLkYG/csq1wQugD8MYuP+
Jzy8KXFEplg8SmFgmtK2M9o0ozCI+YOdI+wewolCKMiTwsRSHBHjbd3V9E6qkQwJqZQIlWg8t2OY
PCFBocaIollV6igpktuQaEyNqLtLUBDBdZJ7/4w0W+NIqMa+9Joi3pUUpF/CITFaW0QaEkVOIQga
14TBMH9uzCwYNjqSM8mu0dUK99JZbEt7HCkMuaUk6KjddCZhWzU1/QP2N6RypJRklls2GrdWOanQ
qEgVpNBw6u2a+YLY2WypRKhpiHzoJCM0GSqBgCSmBBqonUfh11QxB0atl0ivqEF9S6alJmmaGH5j
D4QOwiZO8YLf5kqvX5vaPKtO2om17ISFltp1SQ2nSHWEU8tQmH5SDjBid1KM4L5S2HtsCV3+2x44
I9qbCNJV3AAUcFfo5CZf8bknPOgxObohvDTvWiRoHgAllChnVMhtup2cS7dTWcWAo+WxRmlE0YYe
4SB0xzeDgS6ILQEmwDddLBq8Wn1EWTxLG8VvMovtE5mefvA0mYyOMwd6vY9qdCjsWCvU2iU+Gr9T
cO6fFavhg6gGwjHEt2pWoOL18wNqleIDhU/5SSMvGC4CosVk461QP+Zpo40eSdReBRXs67ord9Gi
dFtOaL2QLoleWsWfLuJ+0U9r0ii89VV5bC8U/PEuFt+RfNtw6uNnq4Vj7YqhMIAbHKqYMnkACLyi
ShhcISI53gu1YDzNfaLdaphQhTs9DiEwpn6iuZlvyomNGUFwUIV4Hm2EU40fQwe5nvk39OJeQM5z
tsEGxplrTpCV0IMO9Zm8eKgWSL0oTedOuaK+VIj1pLe9oASRE4SxMOwQdpQQVuROp9iLN0y0D+sk
/1ah5PpN8gPlcyOEE9KmVQ3P24DR/2TGAQI1k+yXpC5K5Fswsh98cncYCLcOmcaAM67ViMlqTN2H
WBke9TGRdw2qUdA4LWW2y/miQ7vw+4gqYG5LKHl+DTUxmlDYTWo2YE2rvyNWUz4GQOUlpzX19qvU
prq0Q6F+MpaNoUPFsEvCT2Kg65/kuEuajWrGY+OicpiN38iaKagEj2gae1MUyndj5PfjlkXh89SR
InY/kEpMZSebQFTbWRw1xmUU4Mq491VcQTZpTWbKlpqRYjc6Om1hy5NvCE4pAFBCxypNog0EqSJ1
xHYUL1CFQGRSJ30ukHdOxKdSTeZuN6lFJtn9IupGiotbjh3rvTi5RqNOqTt2+LzbeiTDosjxR9Bt
s2yNp35sgs+qhs60ja2Lj45A30Exm0ZRaNwk1hFxKNCpQWkKVQRtl2TGgNKBHpsOdJCk20mprnyW
hb7zESzU62zfGD2KPyJwJ0RpFHGRphmQIN50op8hCaWPwjYMG/GXjNKm6KmjmHRXqZYNNeZSRNRO
16iD/ylphSa/VWTqIFu0D1ucfADQ8l04pqgWI+E7uYjSDl87rBpye9KixHIkpWqkHcLBvCrUabrs
Z5vEw+CW5hjldqY35aXUoQscYObxSays+atKBKp47KAqKlCKH33RlRpGbzxAjbhOWqhLXqLmefwd
/dkUFQIZOjWIBIvCqNil5GoVdKrsZC47yzEMhMp6obEy8jCkJtw0iWssSOUwegLvN17PGQaW90zt
oXDDoJR2sRQJP2pV7bq90vnFs0itJHFgGs+53ep+wN5htdasXETYDhY2yksIinJXGdTNAMBH8wBh
giaAa9AirTXp05coa6XPiAIhyRtECfuEQBzyjHYmAplRUqNiiZgWEmFqqz4GiOp+rdCU5cqujNwH
hKZXeiR9MBpz4joJvyi5gcRYkTT5pwwYkexWRS/9Eqq+fRmUefoGX3pg4VVqfGn4NfZgJSJIvW3N
CMKhTSSWl0i1jfkm94sp2KZGlO41rdEne8xz9ZZESvokG6F8XWuINrvTVBTtJ6WOo0ObI/PuIq9R
XTf8lG9TnC11T5TD5HuoSBgWRHGeac409YRzuhn3L7KECI6LOKN+FZdi+dQVdSfgXCglrddPLQRk
sxi1yxYrknYfRXPVbtUyEUxHwiAXnEkHXtlR+5D905pnrd5AvFHv1DAfH/zcnOotBlkmUmezOpiu
PpAGJYzrMAqCdEQgAgUEb8q6A9ZucwvKQ3eCMuY7utBPz0mLRj2hTSY0Ts+4HASjABJtFHDGoZqn
Re9U8Xjhy/WAt1r2omCnGjllpQqHVEFv3J0p22iDDrs5Ygpx2pBD6rdhWySXmGpX5ka0hvgb1iNd
6/SdkEZuXpfd7KStKnzFiJdFqLVh81xPE2bqPTd4zdMFBEXzYlG+qwURdqUEfO4ZQbgtdgNobvU8
r51lsryNi1psvmcjfklelKVy5Khm5lO3GK2FkcoFQXOyqvFRI52N+UKJh0J0Y/S8LlGECq/BjuEz
IbaGep+izU6aEXUrXVPpdZbEhMdqhYquO8hlCiOwxxfXRkuvaMHACgOqrSPGMZ6CXi+u4abob2MB
4ICHZxAS1Oz8aNQtpiVelRVVi7pvVP1Us7H7ZYoVEVEe6NnBgmqDI/miGWqnU6yL0KJMIXO4NtWK
U8tz7RMQQcBe/MGKwpYqLejQdRaS0iHyZTuzKN7Db9e0vPGmmKFZLlnyuaz1a1ngOL8CEYYCDP9e
kohrdGpWg+bEjlNw4aSEUIS4x+Bzi7HZ5UQWyfZ1pFgVVLWolCjJjWm0w602m5U7ppH/EOmFsBca
Y95ZXWDcZxjQk5hGqTGve83W+l7ZFghvbJGpkZ0hRyYRzQHA6/Ng4lvezMjDVZ9OX8s+yN/AL4XU
DL9GRJxiTZ+v5n4e/Fb03QW3v5X0Tt2r0iw5ZalqB91CkAxtsviaADtUnRHq1nXT6eEZLNT7BA7k
eS703M+WwV0nio3RGup+TC1XlVPMC8W4u2evIRzPp+rvX8yPmlrdQwXE/6oiJtPR5EK4Q0W2eRCC
VCK9kdXbdIIoMZfVI5rS8ZfTI/1B3gGCD1wqJIEsyEXLFfXNnVzP1Hqg7m1xr6hlL02SyhOQ2jhz
zf5wJIEzc8MG/Yj40HErs5gnOFXGlgtDLPuSKYaJVRkMti1Zt7MsnY8b4zoNTBvV0XWZ0OJEV+uI
/I0aj4VbFxRJiTzvrYl70+nBe39/Z4KQzPjvllaDV2Q16usGb42C2LgLDb/YmdM4Az40QO4G5YAC
YhI+nm70fRqOpNiCHoBDymJ/LW+8eWNaN/hhibUcoj61hECokbiReB2WV5Lvn6NgLdNuta9w6FBs
JW2vQyJedbBGu7VtjAx3o0pWXwar0QZX0Vr1oRhb0U37KH8McyX9KneztB0LTf58uq8fzE5Sp3gz
quSrKYiu5s2g+4TdMnljRR6Mz1UKrdFAVPzPctxvyaDbPzu0Uita/fH/e/GiJbf0fxYvsuvnOUrf
ahctP/9bu0g2/wAzpQNBozxFInZBLv7WLjKUPyxWMzbMyEAvFUa+9Vu7SPsDlbgls0VWk4MJa7y/
xIsU5Q9qTq80Fmqg0HOMv6NfdLzecUDgbrvIULMYEGKAE3q8uQBNweQlqCesBtpUcWY0bWuIsLla
XAQztY7Nm5H5PVne6hK9bw5qBtsYhbqF1LbW+S6pKnRJq3LbT5pJ+zmmCZVpklORgMa+atXzj9Pt
Ha+BpXukv1GNoocQJcDkHndPjPKknlIUWipBzO9bspOPcBvPolPFVTsU5yiJIClFgY6i4LtUKH8l
CVIo3V3ubzY3O3ezse3N5WGzcd3NweHPB5d/u65j7/jKPVxu9vaenzkc+OOF6/K9nXvB97wLvuSn
N/v9jbvjuwd+ec+POs6eT9tsbT6Sj19+ZFPw+/vHzc1+z6fZfJztLd/e7DfOEz/CI9jO8jd8zR88
23Z2zo52+Vk+8XZ7w8dfui4f9cTf7D3b8/jEr+7B3u8f7b3n8Due5zme4zjLj3n8Pp+3fJhzxRcH
esIT3S/Nb3fOxWfvYvlR72Jve8614/I1vd5tCzrv8HQbb3flOJv9YbM8KM+25TfvnWc+dcePXlw/
7HYPyzAxUMtvu4dDZi/NPjj89emJIZ95Y9Zqd8wgp6ONId0dNjdP+80jnfKcZ2d34TycaWlVvaV8
dTw31kusbZCOhhp/t3Hvvn6/Cewb2/t27Yj2mXZe9/O/zpv37awS4k3VlKGxtMMr+rq/v+c9O4w3
r2R3eXAvHedM2X1FRHrfoHK8uHwJFsZMgwf36ZHZwns6/Y7+rNyf6tLyEt8c141cGj6q1HeHu8vN
5TKhN4fX//Hfm6cNa+OGuXp4OmyeDjeVzcI5PD3xLu2rLRNrf7/db7dbb7u9sq+ZYRfO5Y7p/O3q
6nU6XtnO9Y73zcpjWbjO3aVjsz69izvn8pLZd7E7V8I5Dj7ej9eyOb7pjUpm3Y8ZL/er+8i6YcTO
zepXxtWpAVse4U0TMzs5lhnsQ5unm8BjWbLcb5YFz7Dd88/e3vLVsqoDmx5e/C/Ozqs3bmzZwr+I
AHN4JdlRyQqWZb8Qjsw589ffjzoHuGp2owmdATz2jCRX71S7dtWqtf7tC6e3/7n7/f5fbz8+r20R
bXaw1z7QwgGnNARH6bwpHw4vD1vn3/4Q2tvddp70uy0+zn2+m90kC8NCbGx8oDP/p/uwfXFfDk93
7luOb9vZbze/tvwFDOVhZ+9evnRMn4sXeTrs2HebI/u8sDf3PyP7+MxSu65su49siB+W/XVzjyfZ
uvbe3Tzih453s4O5vlXf+8qvjXNZnsuFQaFJ6BGHfWe/4XM7m8/9fbe1n/7jmRkeTvTGcW+2fIgN
fvf6J6Bpc2Wq569/XHuD9v5+nuo33Psds3A3+7W7Z/fBdW4OB7z1/genBWeNx+eW2G02Je51u2XO
uXr28y3gvrE42x/u4eEBh82+eXjybfsbu2jLmnBLbI6cwje89tF+92WH3eHh8PT34Nt/n+a/9NfL
w4/QfpnsX759wNnhhx6e+M+/f9mN+Py9c/+Mj+X3x/3z5nn/z8Hl75/tF26RwbZ9e8dR/XZ7f//t
/rjffD0c93+eH7kpnEeuA2ezeXbtn7dcRPvHG/eZI2pvjsdbfPZxz9S7zOr7NDPyf0w3lysWuVv2
d9zLdzfOfnPPUX//xtdn/vfsFJ7dm8e3Nzai82dlRa6fdwDCpwsCEjAXDK4YbskbfrF3d3cuVx5H
33bc438uOWdlH0AucXUfUNc4NRt3BswOmMUm03H3wPnnqM1W59u7tDlF9q/5rsddci4ONt+Id9g+
zbcyC83C86cnfuBg3xMQbPnT/LOHw+6e3/fPTJp7dB7fAxumdTvfmpyoe07u4T1c2B+PHMh5q2/n
Pfiwnd1pYO/ZQkw/3nrr4o9v5mV09293RDru/sHlZ64vwHw7/P+ZhKubeNaEtknXAfCRCJm//uFA
dNMEmfss3GeSKndRWEFcQFGbzXUrp6v8XysA3kFDI2FzRrWZI+TigS6tbS+LrI3XIt0GKDr5gdZR
SWOsJdxft3c+Kg29VRIqtJOT4VnS1iWwjmvWYFIwrix1G5r9sA2S7pPyucwdlD7vzdpAhaH3Wfgz
qQVVVtGHYUdqIH8TwzI9NPBsrmzW87nDCnhkGvJBwIIZPV0hyjOIzhtWZQ+xGhgoTcCmSmZd01rY
x0eqI1LZr6UATp8g83ppMzUIDfn00hCuL8IkK1OgDaLL0c7LTD6KQqm5XR1Hd+JMDXB9qS6Y4uXH
O2fmdSAMXEyijChVnra05qHhUdDIn8EeGlJtqaM0WUm3XZhJesno3zSYRuBii5nUCj0zESar7C6s
o0MbRjqFtKi5VXPFeqAkbqwEMxd24Ud7yxadscmnHA0J8vGZNBX7VPIQ6kCkZA33cmkKIe0D5yEz
PPqeT3eIl5qQieRaaVtJiY5WFE3R6DZhO/1Q/K5cGdSlSQTXA4SRdzmETvPXPzgMq6x0s47G0vZH
OXZb6tn3ga57DipLo6sPprrioC4Ojt55OPNI14NiObXX0axuNqFMiStp0VWzZn4zRLtsP0RY8vNb
UYc6nWZDYFJkvk5NSYKmxcIglvZYiYnbyIl+X0eTbFupX71cN3Ua8r0fMHhg/t/U4oB1k1FUtcSo
KDk8BIHh78wYYApUheptr8bla2W2b9dNXtqNH02eTWQoDH0sMZGBCDNP5WnbsG7W+gsuWnmXSuah
T1fxYi/WVhFUkxBUdE9Y7Zc4LyJHMDNlBd9+0QqbncOsAx9eoi89zVPLwDJKO68pcSlDjhBQl+u7
6zN2aatDtASEGRZOuLEWsUll0SsQlnppI2Gv6PDWJfExgUHiXwpb0ouFv2pWDtelzU4+GXdI1hc4
68JiJARJFepKaUPlp++Srv0OK+EvuZSNzfWhXZpA6IGoR7HX6fqeP8iHU6xrYuD3Gi4j8AQ4VNOa
bopEWiPyXLx+521OUodGSLTsZxD4kqwxEMy5QAwYq1RAE9WZAjJpCqJNgf7RLutzmmzAlXleHO/I
+vZwYqPjZE+iuib8fj5enaNDQxzY9/dw5HS8VpjysOy4ZRDUTfTHrFaD+gDPd1qvrOAZBnEeMixd
3JnKLL+2DD0ALZgwaeWVTQNafEQDqNuWZaG85F1154MsP1Z1kW+qGMiDgn1nGOPAYQ0aqbHQUBPK
lVDo3NNAXINyAXlQOkIgAzwdeT8SHwmIPoKaM3sFZDQaJfR69b7i9qIvF3YItOupbpt0rcvsfM6x
DAAcTDa9f2fh0SgrQ9pK3BSA/kwHZsrYmRS4i67v5Ivj+2BlcamPXWFNfonT5lnXua0PmKUvPWGX
wt86WpSe+zVCiovjYoGZOBR+4F8+nVETIWOFiLK0lRG+OAGmIqdTm2zlMjp3PsweinaiSRcJWfHF
PZvlshdT2kX+2Lf0pxxxzI0S19EOdEf0q0ENdvv5eZz7soiaYcw58whenJPA17iR9KhX4YQvTeFG
RpnQMc20vkPUBl3xwScKXBnnpfX7aHcxTr31ByqTamknaVbdUKHP4Ylpp7sICdKb1kRdCpY6acX9
XZrcOdqkYEgAT5vx6RIOhYmgV4V6RxxK2htUYkO7kWGg2vWZJRZ2AJ7l2/Xpnf/G03cWndOI5Sk8
gWayjYVnbxUfAZEaNBhkRxkw0LJylTTqEModPh92EkoTwcCDRxVP0xYnIlYnCHF1tbDHHiFgEQDW
FkTs54Npix4PAhICQTqZl/02GWo9uSqPAPmMot8p9GLZiJA+iiVNxEn12c5zXMiJtXkXfbivel/W
60HHW4mQ20pIbINUdYClTOPKzpjjk8U60byC7BG7A1zFktiWcxwmQTAVM5NNfYSwCMBnlorHPNXM
DXoD3cvQC0Jsp6SR+s8fBUAAVKuIr3mQL4uhRjygo9Vw+09CYz2DJZYfUNhFhFDWykMOfyz4ssDT
VkZ8YWfSq8JDmQgbCpt3tsgPU8ubRG8UCbgUqCCQ3IoFuFVCeiIUO+HzvhpSpvfoWueZsuTCMot6
rFW/IKAKZrX4tmwPqQJlUggDCHKhAD5t5LzalWm9sKSkOMg7EIggWfNe5fgwwCoo5alpsKq0uuzb
iBObbh/m9VHLlfZ+UPMIQlWrdsqwW+sBP7sq5ksX9rh3IizuwMW21bwezF+JR/Ejs7BlMVO25GLW
mqPPVhArXK/QqIpQXp35lspDGLKf2LNT2ACbr9GsdHniJnulMLKVfs9LI8K7EH6acMRbS3LcGIn0
EOrywo6tbACa2wrTj06QkzUVhYtjgs2DJSMzoC+dWDhFhdmLAJyAeo9uXYzqjZigRlgOCBh+0jUz
fSCM6Y+EC48W84W/bHovy/M0xVTp16hDjgLQ+vF7kIvjSnB4afKIhTgCICyA/Mw79cNOLFMzCAe5
KOxKFcNNJRDrBn1QrhzoC1bma4arkckD2rR4xtY0x9MFG+LCNFDSok7vdJmnaw2XFxaIgHrO52GD
nvmFlVHyCzmqPToAtI7gEke1yQczevRKf/r+6QVSyFIiRsQ1w12zCGENOS0DgOIFkvcw1zVxUzux
0kUoblortZhLU/fR0vz1DwuU5SMKuGMErE7vXk0jUzYZAO+V/XYWfIBTIj05+z/8LiX+UyNSM4AI
lATQfHou3oKvLJ9Tpc8Plq+piFr0w7C7Pn9nDck4BoXXF/gaYC5YXezwqUyipC+xqPoWE1hKgQvQ
NYa3rZMTO9C8YJ8NdAmNoWbtMrGU/wmjcKy1rNgGCsjg6x/n0iSzkHOnLvlZIBWn4/czUDamx84x
rG5yhUKIUJvI/n7eiIHUFc1uvD7JRZwa0aH8CmuY+u0hrMCFjj16vuhZWMUaZ8Sl1TRgGcPJQyoF
IuXUkKfGmYj+emGjVzQ4EQzOwMphWNe6fdYI48oNemnuaOVi8xiqbnDMT621Q60PaZcXttFo3k3c
gRMs8KLu5ycPKgqIQXQIHOnqP7UCf2+ljD4eMaoRjUC8K90MGvLLn7bCtPGIwiOyUMuZizNgrFZI
f8fYG8F90luqI4Va8NlU0SzfMCMCubV4TC0b382pExph3vsxTD936TjIbgFuesXnnmc6ZjPgg1AT
IbEMmOx0ylJ9yjUxNXI7ar2Q/k10kaUyOSL6Dl242N2bvfZU0G63KUHx3ZDvPuogx1ful3n1T4LX
udOQ5n7KBGRbzjihUBJurcZPCAT0DiQyjVu0KqiDJna3oPp6xRl6KwkPVUez4srGvHAMeA28k6iD
9DwL7YSczpU2teiISSMldgJRH92+CG8V1VfpnPD49+d3z4yQYklpNT2jSGyhbkXfCy+iBkFo97VS
bY10WjsJ57fcO80dArs0tZ6LkpJz9uFGZFmBb/tOYhr5Ycwm46B61lrb/PkMYgpOFIW3NxDr5YNq
pvUWK40ZzKEGEVxwwKVpi2BHvlq1ov0JetqLVs757PdP9wupKrSD58Z5qPhn+b+P110QlxoUc8g1
F1kquKoF9VPZ9tOvsjUSV5Iy+RdpkOGmCJR8n1Zy/eP6Ep5vV2nu04UmY25Sxaudmk+zUvSRd8vp
yanQiNeNP0ll/NAyElSllaV2q65Flefuc7bIo5VqGlnWJdFO3YdRKEuQO6B1wKO1bNs9R2UNjDy7
x8W0oluEGKfG/uTuWbhPOWpAweX0SlWRUE2OmYXhWzmNqepWhad+KeNuCu3YDMgZ0Wpar90RF/as
JuqEs8SAZI+W+MEKoj1YShEbFRKvBCUcj0jieVLwQtctEgbX1/CC46NUwlPZgKt09n6LwSqyEKt9
I3Lw9foLfjF+oakjdju1SiSXzm/tOVaQV7AHr69h4vE8z7CFui6/BhViXp996lEDI+CdQf1wTwAa
Pd1RiAI21VTSlxeXAce1a5tfPWTE9ETR1YIQe3xXm69S6a8B+S/sK6oQFI2oFHB8l/QTYmolWlmw
k7VRTXI6lTz41axOCteIrS+tLQ8vMKiwqUB5M3/9Q4Ca0vHlgTzNbb9uva/dGCnGZpQs76YJ1dbY
XV/bS8bg2uLBTpKHX4vZbFRZDoQmpj+VzPqxkPL2HnJhwe30vH+5buqC85uVw2H4IqdKsU85HZfk
qdpoZIzLiAzvT9RI41ezMbpdnCXJnoJm8O26vQtDI0cP6hjkOfRFS9hJogph2tLWhciQYbpCQAGz
qqAxzfmZlRNywRSkZdQu56GRLZ73zoclC/W08Osmop19VCvfVoe29Sj7ZcpBkjNygdcHdsGnwlDM
wPBy0BS/lyc+WIuGDHnwlg5Tem8jx8sDxEGFksKf45m1/KcZq07cQamhr7ycLtmduwaw+A4mWeyV
tumlBC5C7PYZGZyhDdV7BDRTp4LV5mufq/mtSYfZSnB3aW5n5UlcHQ9dOglO57YzOjVtBB9X15Al
8DJOeRGXuWMYtb7iWi7s0Fm9Y2bXJmsMKP3U1KT0rdH1aW579UT/WjvJu1HvzH1beRGMu76wkmi5
NDSe1XP5hHwxj8VTe2VvoBxmWhklTlU/yMIkQ1qo5U+TGa4JwlzwXjPrHLWGmU6GC/LUlKqXcuOP
qGyJfpjcqxXpowi11+31nXnRCveuJiMIQyi1sCKmRZzqGt6kjJJyU3qieRPAyLRCBHRx2tCHIgRF
LkRe9nXVAaU3faSnvky0wXBAoifjXo2oq7mjZorliou8tCvIUM3vGIIKpEhPp04UJ71qQ/wWrJrP
XTM90uvX2zrxlG2UUbniSi5ZI8c3Q6hIE/OuO7VWZHWkKwWHuxpL/5iFlbKtY984iMNAR2s/tSuj
u7BkeORZBE+EBo8c46m92JCLfqApwO67oqAuG4hy5/o5jXErA7uwarO4KIkxcrTwRs0f5IPXGgpV
CpqQczx0nZG6KdgB14hzM7TD0Kuer2/EC7PIJFKapNKO6tTSmDfQT9r49GbrVqBlLh+n/J1VqubZ
nkAil8y/GnzeO3Jjky0lJiHkXl7bU26mQzDIGbQKoefEgk/HH12pdasJG9WDuhfWizWxtEtzSlCt
zSnoOc80T8OHOQ2aSChSQSXGRDBUppq4SVLFt2NVXkuwr1ma74YPlvQCWBiooMwu2ibsDrjqJtlk
Y9yhrRwXLOX19btw1dCZxlt+jk24UxYDSxsUF4JaohN9mJrdNGrCF1i/LUjV6rm30BqPRhl63/4H
ozNp5XwceC0tjFap1UPzr2R23TOJIVCQr+mof4Uuv9qKeqls+zpQV2xeeJ7NpJd4TJFXPTn303mt
zSmHXRxqCF5KKHAH2dEqhuTb6AXR7zxV0h9aKlauBv3hQe6HdOVMnr9i5qoQLpSImr6r5eEX1dwY
lAR6gtYYpEfISUYbThj/J9QR7d1kCt6m9sr6DnqPlZvv3OvM25WTQhxNQmF5HWWNakHyniH6KAMc
oqThbyIlkh+vL+i5F+DVCU0dqFfuPsKz08ntjAwlQzkgYeO1wQ8f2t3AbXLkO7eqN+Q/mlbzf163
eD6h8zuXlBodvzJl2YWTC5pUCMSKCCJtwhR2F9TGvliIV/t2RVllqymZZhuZD2eLh8r5GmrhkvX3
KH4mAJvj7MV4hVwMJZUwVCyKIHENgYNJ7j4PesfqE6Q7QuiPYKQYxCLekyyW/l4f/bmTmKlU6dOj
LKHIZEpP7etUJAiTcRLyECsHfv2MC7XfyfAabD9tiRTpTPoxGyTBfmqJt4NsTQm3ZOZZRuZmk0mz
vhVT09/qnTYGK+7o/JRChM4zgriQNSWtcGquhkY0GhDUg/YkKf9wgUC7DTOCFHtk4Jos3/npWH4v
eqPYRaOivl4f7PlhwTqpdKDIsF6REDu13rS6Hrc11kGORTcopIg2xLnyp4/kbMWk0E+1B4jpIhDg
hJigtHsixF6wjtGo3nfmIBz+h6GY8BID2KYXeImrqcH6CaDSmMh+Kr4ASkfYO4TCaA0LduHkk9yG
ewr2YaCDy3IS9VNIXbI2s30oel2rpNXRklL/AN5vOJpmI3w6JAUHh9IWdTI6Sc8QYajvjHk5L5Eg
RMomQRz1XiPvtUn9Qf1yfQov7UU67VGznBOWxjIchb9H5L01cucbPeqdUak6JBNSVx775FDUlXgs
qbc/alVUfKcPrlg5Chd8DGEcU0rWCUD8EhuMPjg6BCLBtwePo2yXZBS/qCbKdbYIicmLLAtaZ2tq
CNEAJEPVyuDP4wIiLFpYKfaQAdeXiCl4uQukmhLqaiiofWcxQt3OZA4jTfJ+UgN1jOMnXxi0/8Hh
YHgWiqa1FQqCpcMJw7r0Ox4Bo1RCqsUnPHTmFLxJRhuvxK6L487Js0D0zNQVs84Lkd3pcfe6IEst
dQyh7641F8LKeiflXbTiQZdJvf+aMfFncEjhtBfPmowLSgwVJXQjahSNlbRu50/CJkeZzyn1WoSn
u8+OsSJ88QZv2JZUOx+9tvnkdj77GAvnphZi3xDchm5YVSm0bQZkN4rY73IjVRCFmTa5rsBqk5Lw
0wAzbq4fpsWN9W4dgN8sI0YmlQzO6VxXCIyHkdFCWeX77REGxHGD0k23zcNurcxwaVk/mprP9ccI
elKMUUu70G0tC61dBfELeajzlWVdOL73ASHwy5ISzfHwmb/+wYrQBbEWhFHgemFl9EcRFKzn1CNk
YwdljCzx2Sga75PR3GwUJD2nkR5z2MiXmiHKqJaVllu+C6uEf4f6QenOmauVYPXC0GC35PIAPsM/
y1C5pVnEE0gwuRZClelNKyVKvG+Q9pD3tOvX9AAZBR7/+gZZOJz3oVG6nJFa2OYxcjqfuWd4QTjC
Ep0OYuRRAC7acIL/se4hAokH6F3gbAs6aL3akmr7deNnW+ad5pqiDa6OcS8h8FUHbZHgZaqjoQ20
FytvdHSArytWFh4dSTBAw+hMUkHl2QOh5+kQ2ySkgSWXYQ0NR79zRiXJH6JysDawDwmbeuS2TrMi
2yry5K+487Pjh2mT4jN4ONg5QPqfmraiXPTiKFUcScwD6YusFV35GjaNDLM3GJe6WalGXbLHuZhp
+XlswTVxai+Y1ET2BGSAx1jt7KSfTBfah8TR4EB0r6/dBVPk7mdCdABOnMPF0Ao6uqoYSI3j8erY
eGWGrCj3Mi6trFYWcBERzAsICmJWQdERFedyOh1VFOulNLQ9o4I18ibwsmIneFPqyAKklU1Hjd/r
ITuK0kG57RWtX1nEs3M5m6c0QlAHcoedempeFuBkb7JAngWszJ0wNbKt6hWJaVFQiA9y8fH6zJ6f
CpRaKcNzEVPTBCdxaq+AdMuLPNwaYjbqHq1aSFTDoFmZ1PNRnViRF6cCrlRLKKHChAZRNBzf1HMn
GUDeSYH1CJvVmhDaJXNkZ2dwNo0UjO90UFpG7jQ0dd/FiYlZtEWLDDJHJ9ASJWltM1NHOduMTRKq
28/PJsAh0gCE/iS+F7MZkGoEwy8LjmLm+vcgpowJ8+jTZ43AdgIomowOFSBO/OnoknxMAijBVWdk
ON8tMc9cqhjFSgbufGPQAIH4wdyWYRCLL+YwglbA7yMrcmWZqo9mhvlGCEPp8NmxYGXOEVESJTG1
TE3VudIH6ClGbqHKRGa0vG5DsV7bD+fuAz0hAFRA4WgL5W49nTFS9dDKlmbkCt0I73sgcr31UrQf
PIr11wd0dsXNiCZiKhSyDJqFlldclc9dtmE4szA3/u8pbtMXDU7TbRlpg1ubuXD0SaKu3KuXxgcS
AkkH0rPYX4yvmphgv2QWozAoKRkDZa/lzLAHuKJXTvIlU5wo7hfeK+RFFttCS2aGcoNt0U9K81AE
eerknSl9VwEYfvowzd17YJDIqM9pvcU+F6cyHIvWjN2in/KdVSf/KkVfgx6crxf7gXIEuP/52lz6
21qBVVKls5UNaIxf23yCK0xQg1v6Xus7EVqvu2wSqrXa2PnhOrW68BOePua0bHmhq0jdtO+KsNnl
dbemVHoei1DUJIPGtUkLOvXN022vDWMYlwKPEsFswy9p3E72CIU3JL+FfCMFkZfaYe8pezVovJ/X
j8GlAXKJ8bKViYEAWp+aHqa6EIRh4D2k64Ort3J8GzfiWibpohWS2lT3yfbSRnZqRYta4LaeFroG
VLhbpchjMGTSWl73fMvzpsERKjNzFrW4xaMqN8Q0k5ogcsV28lBB6Yta3k7Qqqb7MpWbZsUlztv6
AxiGYWCOhhQItHhF8Zo8HVTnZ2pZTgiSelOp7uC7nh4zLUzgw59zVVbbWfvra3XhCJD1s2Y0ChHH
2VoFjaoKndFHrmkQbTSNRM3KQChxz0Ol2Xbgym87o67TzXWzF6YVfwzoBqtIgoiLxWsQOBKlsotc
n8tnq2XRdPDClpRuzmN+rWn+wqTSx6BTkuPg8apaTKqFbLhhIWHn1k3j57SfEfo5oA9M3Ql1qw72
sZqH6afdMolGeLvmCw6asKWolGqgk1u3LVIFFEMdckvei943yn5S8u739cm8cBIoXHHMSRTTULlE
UDWtQRUg6FIIVAmwOqnTnGSy/vwvRshEk+egFWz5HBbRWgPP16QuAOh+E2Si6Ga9Na3coGf7gvQJ
1xh1P3I2M9D1dP8PPN4oLka5S295+ZiQdnfFuup3wSjp364P6MxBst9nwUfqtdwBvNdOTWUITczg
6tKNck158UBmeYdwGmlydXPUQqHg9EsUOhy1L8r4RwR1+pq+JSXUs6Xj/QRUkgB5RoLQ4X76IXjO
xTR9wvI5amJMH7gwKYkM2Xoy1X7sQAdapxNk3+k0c+qaVR0ltmimoh5D82uNXrmxQlFKpecpVcbg
Z4genaUeesiEhdcA2eGi+eaNcZRFe0PoauFPlkaCZzpCKHpCZIdxl8XRBl5vxCUcJHS7UnQbJED8
aNdYUaW8dOiVCbD8BkE/f38wlcr30gjS5p/UiEX/bZInXbmvUqNK/5Sx2rSO3I4hgmFCHpaRHUlN
lB7bIgqPogHZOMWxqBvfhiBrKJBnrV9FxlZWw6x1RinuesumwmZWd2IysyVESpCYr6R3ZPVGp5dS
/GPV9D59jXkQwtyb0xYlZQ4zkyIonwhRm/Hh88E7FlWUNqiFtFn/LI2CTrtk3kSe56YUyWMnGhur
+jqoUFQ/VLkmKPvEsjwShIwl176XCaLbk6uU/WBo+6qc/EnZNF00CI2TiAmsrfsqqIV+16RArRDa
G6hWb6QxNGdmeKu0UnscC09088BTxqccLs7sT1JkuhzuGpgCv5U1z9nOTeADFu7By+befRNaE2Dn
VqpDHipdzUfVQZa8Sa0v0tSqTFk2PRd6AabV8qGO2Ay1CEtya2hJ9FjPPDSpKyhoFX7TvNGofxRt
lQStQ5Ipa5/rPGrQ5+myKKkCnrKeJe0DRW6GJz0cmphXhD+1JfXKSBQgZU/kqp2+6YOR+F9DzexK
YQuDQN8lh6Tt2uDRCNqig8c9IGp77HsjT3q7Sfx+jJy5KkuMHY76kH+rDDr2eXdlhdW8TqPSe4Md
dtokPCIe4ye/VW5sFCJTQTCRuZj6KpJNKv6i1j7neiBqf2X0JPyYpHRdBiI6j50RQRhudpUEr31b
5lXj+lbeoxzQcJCtl8hDvewubQvdnHajr2XZd1OLRcQswEsEI3cLehj9D3xlJ4t200K2/6VsTWCQ
O9jex1qx5SirNN+J/UZpKztEm8dDvDOTNbayp9e0LQjjKIlvpjpONT3rCHtUneNHQjl+LwJrko6w
X6vTVzWrWv9Zsbwme6G7dUhczfKE3qEtYjLgGG+8zO3ycBTvZnFHGv5Jxk+viQB6pHHzVsd41ZfG
7QjJtfraRCbKyKaX44EcYHd1ILq0Ekm+sC/HhMqrnZXqOH7PVCQugm0K/byJLkMsTkBEskjIKvFG
qeS0sBA6EStLdINGCOpuIyI9Kpj2JEN8L9+0Ap2ckO93aTv9QXaBKpbrBTUoIFvKRzFXt0CEMpOO
OUmYRgntmSnrv4OwFCIfrnXGcSvLvgBKFZ4fYMk20sd+/FMrq6EIHUjHJ/FJDwrIE+jaGT0rsqcG
iExr42C19ncajVEQ2ILsW0jazHiIuj4aUlKqzX2ci1pSHaomCYp2Vw20BsPAzqPA0N1C0T3tNlMi
PW3hLgqDLDg0eGu0uRPJauBrh8NGc2RVEIrYCdveLOTDpKS4r69eoo1t+5TFCvJGmzqzjF76Wnk5
bx+iO1h4kZxpMsG4G5BDgbcc0FAtbwof8ni7t8ZW2tTQ6Zuiawl9VH1Jo3Is9yV8HmEEohBa98hG
nLW3/pgpklXdtolG/V+DUqpxI4lxLf4wQrnOX1KDjnxQf4CVAB7SSJr/kRV8si13RAtOP4RddyPq
MBe+jDyQ21exyatklyS+Lt/UJnxUDu5L/GU0KQRHYTsWh8qbkl2veRIkEX3pIxjh9/6d7snBw6wG
upUTK36grlZQ70kNiIRfzBDZlQ3ppmqQbYreefCgF11P826hwGD/Jivkvn8zplB5a3SkPm2tFQRr
x8ei5IAkTjvrAmeJsgNuLSY39Zh5Ggz7hOlOHFly+aa0simItpCmJZpdGjL1T3KM+vitxA3sfSnV
cBhv8XfF26RKY/DqZ1bp/Tam0EwfIyj+jcemFCfrDSxQmW/rXAhR7JSKbtwRq8LX3w0IJqubUki9
vzm6LdUXYKthukUbYrB+sWVz9pwnAXd5rHQ5y/5YnhrpNBZWzMMmn7pK+RuqHdlpW8grmV3NHhGH
R01JKU8J2djoz9k4ldMxECJ11pQZvCR+9ZDREbO92td6bWxFrfIHaT/wUPAGB072qPrXmWMv/u1i
tcx6O2gktRWcuhFU+ZdcDUOr0EGfQZru0qHR1YkDE5LvIzpjBchh2X2OzEZkV4FSDrWjj1mZ/UUb
WUQ5JDfLmm7ZwJcb6yfqDWLxaoRqGhIx5Gz0wAYZNumygzYNik12K7Vpk+FIzaHaIZKU0INO3aO8
Q0YArguAMlAGoa6APwd6ULffU3ChqOvoQ9jiGqVYcmJwIGAspRyJJw3dF2BFYhyq5uvgUzh99Xoh
/eNnRWSSrUy6mGxwIb1KAhkzR2EvKo5R+lX6u24n8wmAFze2lYrB8Khn/bD3OV/ebRwoQebgfco3
U6LwywXbxd9rQD1PiIhEf/RQa9J9kQ/KY9H3+iONp37zfi18902pGuhzrPVj1pdB+0ykYJKSDjQr
3ZUT5BY7CE28ZiManjo4Sm5V2n6qRWAtwH3T11wyWKxxEg5VNYooUUVeICIvA+OBAxAPOgKtTJJo
G+mad8vrZkQpI02mnyFKLdahaORS3RRB3QPBbpp0U5VSvNXNUVK3CMj5Ox4fsIYUY1yIgNpQuneL
NMtFpwM07lZU7tpdz/X2XQGLmTilxx3jaHHHooRjAjNQB6q1ccYKEalDHXZoc6idCXYMtjjLh0Fo
6Ds3HIV6OPrvoiZRlBkIvVTNAGVNb0quKHAN2dJsymlzOQbzIbWe6qAHq8PpPciDBMjOD55wd/K3
WsmzDgEbq/6qRob/FYkG719AZedRqqA/YUYEQdwGYU4dSTQqNLHpDbd62zJrglWIYwr9tvDSIX7M
8ymrd7JaR8UBObVA2rZKIw9fYzrNS1ctDQElM61GOibO2Zo60ivqxhtR4nIifuZhXgcy4WOM1ETj
ebLsEKPkiLNOxCLgEseUSyQykI7Us1b+afVaeuMr+TS4IJtDxiAOjbILhamkq3wKox85SxM66LYJ
W4XOb41PmwEp0rQiA/aXxrLDYyfdRmrCH0nDEoP7sZkFaH9I/msVR5G3V32vl22DSAUIRmRauWNJ
SfEQJ7oZbA0ZsQ0U2Vq92Sp5LVLSR3HNsvOpzkcn6ED2InMlBSpHPxXRvWzT4qk36lR7TmM/kpxe
FyIUhgajqO04KIfhTjN8REILX7F8J/N7Q3Jz1rO4RyJN3ud+lGqHXEkGjx8SVKJLo5UmW6EzCJEl
A51nu55CFYHGtBMeZKBV+S8pj0dbMPGZdok6ho+YTclfq8SGFW86qyPi0w2UkUGKZ8aNlUSGuiPG
NYXWRgYOIepJGfq/OsQrb2lScJ9EQYg8W4aybLVtJhSyUoQTModoSYWRuwfucfSGSnuVtbFGswTZ
Kwj6lM5/mgw/E+0C5P3N0HkEl13fE+R1U2HJrp6r/uBAPGVBu4igypexlOUftWohk5jkqWo3ouI3
OEMrCp3M63CM/SSpXytZHH8IeYxoitCpofQktw2UBRoQh/QtrsqO3FhcN212z7EcJ8gWB24+3QtF
4UtAXPsytQLULmIuhze5hEYMCjoV31fHeey7vh+Yyp6l0rrt1AZ9zVbNrKeOdpNo4w0hisE+Nepg
jyx6qW//j6PzWG5cx8LwE6GKAUxbUpJzdjv0hmX7upnADJIAn34+zXqmb7ckEjjnjw1SnSZdsTFF
p1znwMG7yNsyLXvjfsiNkiS2vKCsT4CQM+1hK2rQ3JT5BfWQDjlEQVG0F4J5engvKcdKhzhqqmwu
Fs4umI2oaSlkS4b2csLv+gj25qkD/NHqXtGe4uIQE+wsvF9hJdYLAs5NfdnJeBpumFXY2hp+lpp4
v4T/Dr0awXyYjcQOj4GlfIfWb389dy/+K4d++4/4l/JrKxp12wVo804+W/rjTpnWa5cLZQ4OD9TH
4nfOfOFQbvg6NcLhzGxdeq4jEyqGAtqkxCFgoPAvQte4zZWv2vkVnj0o9ox9n+1t153/POGxs0cc
SMOhzOuQu0Bwa2XIeMnHypWMK4bBjgV1VX74CCtPOMWOmSk5odF3ppOIpsj8qbskbq60bBiH9epE
x5226ZEXoup8fRzIq6vSUIjysy5wzqeI1pz2tV7sNh8ops39C47i/g4RRY7F199DbDdLEqZyr8kK
QEiR/KPyzvxztEj+zTJgs13rnI7qxVkCSMt45j5DYKeoY3db75gHrOfoXs6BkcZtx69t23C6FKXf
0gdHTdQPZAk7kE6o7du1mP7EedR/t50VtMbgTr+gzDOmvCeMp5EsDlDgE84VOm7qIEd7Upaj+7b2
+crr0u/F37Abtvtwl/lXoq14WnxveUpEsjUXAxMP8kkd4CqOWkinY1XX42mT7VwdE9fEFDYtlb3b
RmWck5Kb+Y6IJG3SQFj9U/vkJJD00vnhITdedKGcaXUAbor9a3bkilV+iDtzuTaz/71tconw9Nj+
i3qgjg5CygrvvNqjQGxpt/tVgIOf/HEOv9ZC1a9lQEoGlkY1Xy9hwYgUQKZQDYzGZ71UiHDtYaSz
7Z8ZHfHdzab2ON+sfal6TSzL3O+qfKirUUKbtmv366p5stlmk4ZmNyGVQrmplhvRmmFiQbDjvyKU
+V/rD8XTwhX+GKpSf9I2FLfpyrf2E416ujHt6DLrd/zmKRkslMypRjAHKlWebbtyRrbg0NF2bjYs
l/tkYg1Pa6o42apseV4T4qB6dL2WLq3BqWh8ty6JRqd1tuuS1mMVRBcwl+5nqJsgJJ9kFg9yCnjd
PWyXEUAVOzwFcIY3WUYmYitFSRDDNgmbHDffYOFojOmvdzhfusU8FvujN2poTy21vohqvus00a0O
s37xFkoJ54iHLF+lfMjHuHxDeaFeN28BB2LxW+bUH5KROiUSGEKK12Lz3Kgi+F37RN1tczUX16YU
vjwmMUPMaTJtrGnYOzMqTu4WV+4YKX0yJkleudP76rAGVXdDcdOqryaaIf/2qy/u6Czbg5Mbl+V7
wcC6XEfFlDyXSW7pgpwbPAZgLEGe2XIcj7FrouZydGVXZ4Uc5H/x6BtEQF2ubuQ+7W9yWwadTfST
dUQeWbGlll/mooWK3E7rWu4feWGsueW0CNpT4jXesZWx3rIRyQTj7FCw3OV8eL4dm9gPlm7/NWj8
4qWZMPqmlR4DL6V4uc4PXmOdf6qq2xvsfucjHPQqPE1rNUQZLhr9GGlLZxM/ocsXsG9htmPLeiDX
zTdZOexhl66xCMdjwdgeZEJJ5ypYNz5mggmCLMh2iyJKHF35A8OX/3EGOb9L5PR/oQnsTaGW2mS6
VMl7vK39fyCB6nFahva7Dnb/qudjThksOeuvgSUiLQPNPzq4Lcmv/I7CX/7exfJEiVxvx9zxVy91
ZT7yzXJmgIN4wfysCPdg2fdQRXB6RuMjjezNlhLkW7s3gxXB39XOwV0U1tMXvWDy3Y+g0NJZKv3d
zCRPpYZqQT+b2z5sOfZq5aXTMsdfMMwMyUtJp90ejGZKLV/iHWUeNFo5hVluqYRlSHHchVqdPFI9
tq5RhKll7/gUSLM+4yqU/Lu9AUsIwo2eJrg6b+gemyhcDbGVsvzvVT9SiC22uzw+F4OEULE6HUsv
KrK57OPlyNRku0zOe/2BTD9/9JZwW9OW/WjP2uI8tY1y7S+7kEzCdKUmrc8KH8P+dTzZ6ctbrXwN
90Rydou9e+o7Hb8Hhe/aq6QpmtdB1/2PRmJ9R3xEb09VWCWGCkDH/3AMQGrqcQNj/q9G91mtHVdA
XhKdyREbRk+mc6L3xR9Y5VARy7dyXbk6tt7i+gmnxqhr7dT+jaIsjCus8/vl4Heu+Kjinmg6doac
hTSWhDnNTC237d7pOR2koj6WVzz8FmJTtB2PG+FHNRtxpujOfOh89glwIDjlCzXm9e20E5RwkYvE
vYopf/0tWtldo19nilErI4arY/MKshyNB2TI+ZaZWMTlIQ4GBPQKQIy4THzzdxVk08+mdBKetO69
UxCuTPSdrvcq86Zp/nTGLXkMEfehte+IJKFJuVVTlpD/eAOV2QcpxFv1UrSNHrJBd54ilHVl9ooJ
jvJT7Rfty5KIaMvabfD3TEvX3Mq4sAlXoa6eY5J4o7QddBWd/HhxT/zGw87khtW59WbxibgIuzum
d28+BCqYbxXuuO2ygSV6jcQ2ldckR3I5lozVZcpZJC6T0jHrhVMMUXSYghiXelBwyEjAsuvcVfvD
rNWYHHdqgW9sZ6l8dqfA+mlCa/lDRYvumnZRAY2plqm7rCKIouOO8vAjyIf9a0yMMx74DZvbxWjP
PSTbzMOtmrx91/TafdOiLIssZEL5gWSwd3W06fLAztzda2OFenSIYtDFczIAAh9M72uaefKlmj5d
n3pxgoEXudzLnFbOQ9zFo/1uduHMFExq3gIRa34Fh1GdzXD2G//iLADA4kyf1094Lus+jtO8b59b
vrgvMcThpaXTkxdnX5ePvt2Sn5a60/IUu133Rni6fF96UU/Z5ov206m4dVOHjfvPLuqE4KWQhnd3
CnlKk3ChaVnMCz3gZsmH6nIC655Tr6N47rZQCTPLzlr8EsoZeNE1HskAPgC2OlRDE5uUuNLeHOO4
7htgDr99aQzBCcSn7x19klNpPrWsGUO9yO2iY6v4xxz6deSvNvEYzQdnt+aO4Xlkl7XKjlkLolcd
cee3LZjaMH4Ju9JS/UOrKZCCdcbxKa5FHB894noYNrbRbtleBR3IVLRo6sPpIqNY1w7TkPVw2v88
GzlE//I7VN5lkGzD3zFfSDrNo2X0MzBm1hob+QtIjwj74XqWnlDEdPr+uZI45DiapqFss46iy8eF
Rsnb1RFbdzB6YxUqdmR7GRXCBMmXkx62k+cxY6CAKZABt0M7UZCKue+5nhbP4f++9veuXzO3WQpB
29MO6iuzsKvCp1ahGkiNXQYQN6pj74ml86NUD+HyH4Z4s6SAIc5wCPmZh0M7iRLAakiKx9USjJMC
lDTOxYpqdzsEhoROcOgknnh0PHmn8nx+hlRp2e1t37nn41t9VUYuHNNENfHHK6bpVOTu+urtMnkY
WqPNBXL9+nHuCtc7BGREPFHkuC1kemtS36mI96Cr3HJhEnBmzxWnJQEyemvLukDjURerm/V9V+13
jWxY1QKuwTaN9UJ187ALwjuF2jd1U02xezkNA7219HDmryVPlUZZo+ISrEL2BYdxxQtVoZUpUoPc
i0U0DIqLpfDj/UA48QCVmde6SGOCx+kRXXLzJTulnYuSLfUKTNV/6KMt/FfSB7hwbhXaZjMPUJQG
Su3OqdmLZj9Mube+boFoReq6lZ3JxpAqgoSpojYb2gHBtyUby8SILvx9A+alV6C538hQCzJ42m1k
2t/iO0ii6U+ORM6B8AcKIc9220H9XA0RUG3jLjKbz+hHXSpoU+VK9S3KageUlEnzmsPQD8c2EhS/
U7AdPyamZnLCXTSVqePMOzizVc1V7nv4erWBlkkDkhm6Q8TkOmULHF/LL7n3LABGBlMW1IN8SSaX
vdrFdPkM5eMCYYzuwiC0LPSQNzGclI308LhUjLwHMrmbq7YpmTHWQqzjYd3K9dvLLY3pubcNt3XT
KvfK07l4nXbpP6H93Vt6U/MEhNXppunYwvbd7X0AAFYWgf7zf5IhTdZk+PWWyTyILtdvgpZwdUym
sf4N/IbrdFjN/r1ZMT34tit/x54ID5YDP38YbEf9upv33tuqJJm9K+jTZeT13k++cOTxUXnG4EX3
5bCYbvobdQJgft9XEreWuFRYkolyIa+tDo7cc/IBBm1+ZlXdh8wvAvuBSFr87WAmuMiS0sypWlxR
35FYCp9U6HF9GWxcWvT+O9UHgxdNv5NDZgvTevgrCHJ0MpbR+N7zqNYmsN3Mf4RpmaxLvTh3qj6f
NKYs86eO65NuTe2uN5AjuG8RMkcizavZDe9MsMsQaqZVT8a1zLv8ld2DZ0RItOHKfRfTGU3vexQ6
z2Pc1ePNnFMPDsHUrsGhiBQwJTHasXe5jJKorICEleCg6e/8xzd0PqwYNZtsAE59c7cSsLRZ2LbS
QAJ7FESTBJdcgi64dptDhHt72z8156SBU9J59pZjz+9YPxjv0zAW/T/KnqXMOlOOrMKr3z/XJpm3
DL68mk+J7Ah98UzlPk2MIE4WovJ5nBn/J46DuIR8wj6y4Iw3zsSQXRgS4PN2WNOGsw570lpF9kri
CPyNA7pY09ZdJF20Zrcf61KL18KtpwoqeJq+uiYHrV0pk2vSxazDY0g86c/EzfMA0uw+ktnbe48j
WvgcyK5tqN84M8Sm7tzpPQf5cy5q3y6PrePO7U0e6n1PR16v8IQZEf6vFufQ43Pe8LGdZ2Z5n6po
anz1LKoMiW353TVgs5goJxZaMTUNNNHQlI8ebtjlOOl1Ohb5DMVvkPLx/VqPoWJSTvjUuHSQ8lUX
zAo9atBvp4GYPnYzR3Fma8MTG/dO9E/7jn2WdlnnmyEOuXIsnhs3i9bAfIGDRzKbESFfhETflleV
RB5/vubIxByG3mf86wtwO2JovDwD1t0/arO6n7ZRMU3oXiNuML33v2G0ATwT9Ezgag0F/L6oaI0o
om/h8IMiGq/aWfBfbqd1ZKSVkQqysYmDf/AeAWwHKoIzWdziuerkzJpFcLzzA3YCLN5xqK1ZA33o
3dqpdf4oIUfvKOgsrLKtUvEZR84h46MS/PdAllz/3Gy+/TYouT75QLS0sGyo7hjhDglpQ15nfbGR
n34N4ONQb88j9MK01KlD4efCyfp4F/6FdbX/SdN09YZKtfy7gM1+Eufplhfw1O3bWFfB77T3pUkZ
ehwwf7i576Ef5Z1J4nGbjsGauD8Ix4c99fKaEADaKGRz5TRqe++o7wquvbLLp4NGDcKDjLHzH++j
GUEPR3jialWWEQ/lzXgMG1EOx3mq5M1M2gR0k+nkb+63IAFuH+f0EG/hdoqqHTVhtQSOYGPoxVzc
FUHd8plhBkR2Lpi2p35ZfJW1/HbXnds7cMkYMn+bYdNPQ7cz1Ip8zqn+Bq72j0EXmDobHOU7N3uu
6HEmmCj4FJ6BEeqK2NOnmgX2OWqEO2RJIIS9qqbSe0UOSzKA45bMBlFPhkuvXdCZ4jwHpAX96Q+q
8wfF4b51L2KCHuOWpvEj3d0henLmcC1Om9Dt32hgOsqqDrA6VaIIuM88Nbzq0QT/4bkAn+mapY/S
ieZxKT8kSYbunW+tt982k6xE6jc5aNNaBNEDWt2hOcTcwztUezxyKIlgwV63kg5xKihwURe5GqP6
xuP4AHkuR+0e6aqsXuumsMA9wSaqY48uSQLnecDKgw73zLML6mG32Zs3fF0htd7kWRT88Wk/hJ23
65QrEo5j4ab5nQnRlQcYH/c63Nq8IcMyCa/DJhYGQH8zLyVf5duw75iMTZ1UfSYazj6Kzb2SyOGu
H4cTkFDxOJfnfA61hTTSO+Xyjt+D169bcgQoth3MfChlPMusEANSDJnH3tVc8/59oRPggJQRJeqD
53PYNoxZvJz0tA+pWwExEG6COJLcxJkltgpHTTdQ6/oXSpP7xm0Q5UdpWCJS2djk1K1a1LeB3fIw
jY1jKsrNSSbKVAegStNvGPwOwVi+dxwpJV9CtFz1LiPRIUYDJZ/3Ri23Vjp9dct0Ft5ugxN1F8Ha
rVUWBC2iGiYH0BrXXd3p0K6eAIDZCx6eMgj6z9UufJDRr4qnlqXr3bATYPERPQEHezzkf5q4GCxu
yj2KMoB/aACo3ulmGBhTTi2YepMp6uYX7LP+dO8uW/8jlAiqG+OFwSXu6+UnXFVwdLxyGe+B7uG8
NKZIy6E0hv+Sta3+s3Crvwr09U0OIdKJfCDRJ/ObgulNj4zmh2od5ING7oFCDA6WHKXVGiiHVTaZ
9YghJ3Rzm76iuucQXErQcm4SHU1Z3VQzP8UW8ejreOhk2pWzfEuQHn2VyjVvzhjFS9p6nfmi1JxV
tC5X8cQ8saNQGfnHR3H7R8plemtM7yQpZ7Vb44FCd4JyTE4MLbYYKiKPwm5nd9tnnVYEwAA1kCAP
zDVEU5y6i5FfgavlH9+JlicpWFDTOV7nH88pOuYRlqDhkENrXrV8QEa6fPFvKkbSMFPVOvdoVsit
JuzTJ5h2HRBZ8Oq3wwV3YfkdyS3QxEvb3SfnaazCgxRBVB1yvkA3Q5Yb8a7mPAdZ5fkVsmUyw+DP
BwRb6flMxrTCDyzTiVqp2y4G7oSRa4Y3AqbUf41Zpx4V/q4eOsXkebRrMUBrQe+2h6RepTmZGlp7
NGE7ZjZqJJ8sxyV63HMuGLjx2PwdGqf5YiHAx121Yn/1XOvgWhHj9ioLWz97dnUBjdwNFo7rox8y
9Bow0yrW/cOq8/G+lZ7/Z+rY9J+AnXyZjSiv/lqcdZ9Fb9uXOWwYsVGA12jCqtx/KwPb48C3lX8v
oLnLy74rxq9y7c8KRHaQJt2IcdMXC7XhIl2XhPtC2KWGToJMfA1DRC11Scxluo2d/l0xXPwNWUEL
5g2f99NnSGCagONKjn24VTob573442oXMdEAo3Nu1SihK4J+43uuWuKn02Xx3Cfjb+appZxsALqU
9ReKOpYQq9f/DMriNi3n81M8z7LqL/eh6T56CGEe6ESZKhMAA04Kd1AmKaATUNQeNuVdqYcuyibp
TdzDG3/oNJZyKan3KAHHlSOsupRtjnBoLox+KuYciUV9FtqnUm6lRY+2iA92c/XgB0DdfPO1eBgm
XTxipyE8N3c7eeW5Ggx4OkuUeOGCgIDIpl/iQwSo9gaoOHw6xeYFx8hR4LLrVLn3aCa7MMNXAnDF
vhbCStduZDPOWcQbjF7dk12oiDmI0ecHLzVU8oFXAJdHgWLvQ5T+YA5+aZ3LTUC/c4YX5isegvw1
YIrhewrF8u36Oyw/hviKmhk3sCzqYivf3LwK8msiWbeHbiQx5sSrwMGGNI+7sg/oQoaBXceCyd2f
wJvaIeSqsP10KyRnSxrpQjcHreS4pyK0+QN+i/V59WL9vUotp0uXzJCbTkHFM7n1ObSkDL7A8TaO
v2gqLnsfhz1YbNVfONuIssdIMdzwUWekDZFXlpnFcvVb8fzwN5DhfpqdNvw3yFKFRzGt3df5eGBL
g/Mgy5tJ4irKTUusIXzp5xhvLn6H0i86bigRA8+AUdyrCXMB8pgwv98jRaPfDhCHFqHc+/WQ5H0x
MBLJ6noPOhDsIUenDoCB+uM0CtvcN0nP5dmO7ebx+Ez+dRPAOZF54/SKHSpsnh1t6p+t36O/JXpw
BJml77zP+8hSFChSd6QpUdsUnoPHsFicnLE8XP13nsL6Fin+j8lnNWZ+NzDtRRXzebTHHomQnXIu
a29Az2R2SE4O7Hosj3XMyJ6ugk00raHrEBslm3eFKKeMjyTd0c0UdsL/6hDDcVr5XMN1tzqX5Tzy
SgD8J4+zN/iPAwh0d8g3f/scPW5NHj65fXsddUNp3dThzTqj/Uq7pK/eNgtdBia1BXd4sDeecMSV
5XFB2DeRDTVItvmogcUIJ9e55oeb0Go0Rrw2iSkQsp0FiH1A49DFOq4VB27efU6YSD82f+7vO6cy
/mWtBufUCaPlBYfr2GSR7nUpUU0ACVIHBJ6g1uumg/90z0wimro4jXCUrpcmCVr4hrYKZ04gD7CX
ohSMDmTlQ2+vfsP7xI+QT+iYdBBCfKzxXbNVNJrNPvD4HaYy0IPONGFEt8yEPhdYArSCe6PUx3WI
lH+iKQhIu1786aOvve1367iDSOSCcT7U2o4vUeIKdYvQt7qpOS3aLNrOWxUcM/8I5DJVkUbMXh/k
kIobXIvQ2NG+1V+ylNsvHB9/69TMTXIAt1LxwyRbAGEaDnf2AfJvYV27OJje8cENwU0Z9NUfRAda
M3Ctw4JkphJoRgxWliabBhRYlwWQ2nyLnXa+WxGaL1kM3LVf0pA4VOUDXKvxXlFY7N8MXit6eBPJ
fH7TRYMV5DgRwRVdCaj8L1K+tw9T+Ga5gJOP+0PCVozGYhGkQ7JfA24X0S4+EyLRiO2Kw+S+XJqk
RA1WxgzXff8yQ+MjrHIq51sgj+gOe9UE+RFxSII0itW0PcgZjRBM9/kFkIslrNDr4nXMYu6UkAk7
QmkG05e86n6Mn/bF3xzIyp2PiUN5vEBpu93t67wDv+2cDAeIkeW5QDS9wA+5zQimGTdvFfEI/mHp
+4nUH1SADJlNa8GK54AjZ3Iblv4YYYiLZExrjS5FlA0Ug+Cxgb8lxrEZ9ii/HMGWK0KKGHCz3vGg
DKHguvBE7NhANhNRavEJ5L7hbvI9qDmJjJzMuGlnXe6m1YO08kXxwvC4rceSBNVrwmRcEBanE4Ll
eObx3YxDqsJYtzZPG8vxDo8I4HNFKjjLNIKTCG3XXrtfQeM1+Ic7YjRJW10bc2j9Vf5X7h1noKho
o0mF34LRJjUa4HThsH6e1Kj+IEz0hyNbvXlbi7ItrwSDN9xGNfhPUeGRsGXcgSdSh512YQ1d925j
uPka6zV+IS44QXxEW1F+VMmOpXP3PX0/xZX3t+y9KDjUtXGu9qDoh4cp6aenzXaBg3YjRsHen0f7
NvebKZPOgiqMiVzgvO7C+b0rFXtuTSwohzwizvwAMi6fOA7gkPCYIcn1OyVEWtdieeSY2tfMrxs0
jkNNotE2/v8ekDpZ097p9R1HIzwxOqL8AyeGurQkq5oDggfoQWQ+46fFHzcfRgRv4zW9Kc6/wnSx
f+EIML4MmMDlKnFCGiQ5XER8dDef9ZPgcf1fW3jzxkDdFG9k7K5PtpxWbpghLL5Gbe2/IkJmd2qm
pPlOuKSnY8iLBRMx1vFIBE0doQu1jJwZTzxktywF7w0uBgY/Vu/mB4y+++qHqNpSl2j4N1hcMJpt
1vau77fki+wX1DwwxsEIC7DXSJZ9Ef+n6nb/rtit+FSuQtO2tNEqs7qqA32m84I1c6pI/a3IdqW4
x92x20uQOljP6uzpmNcEsWjX7y3iE8fhxy+g7a7nzXo6dSJvC3gPpChRGdXFdIyHBNk1dwuVSnEh
9yKDkB3vaR5z7CFyQuc2KDrKBip3U/0F82PzPvacygxxSI8Wb+DoR/DY/iA3rR/xtWp0hpXXiiOK
8PxRcz6VGWO+y5pW9cuLh1b8zwB38xqE8AiS2/G27ZX/XCtfdk9jvS1E7STVai+9eDUvcznPxKDu
k08M0KB0fmF7v35eBn8GedosphXr7KCNzC6Epu5e3MRHtiQRHivZsy6aeQyng6d5a46FrgznY7JN
3VUnjbdgx91knICtBpwPga/5n0vsPD9DtQ8iI2utJ9Ggdm39HfcIJy6IyFjzu5UdB0EXTfXPBt3c
r2Q14Kd2z2EuXQHWnssSOZlFAYO8QTvqe5tM/poz6f9HKNQZZrVmkxwEzIBHrDj+J34QlB4t9qDP
sTJc5JN2k4tRbQ0sKw6h9tKg73xmVxkoNq69Gfl8gDloc/fRzWaFEzFtPE8pFCaAJIc8xybDHBlF
j2DTTJsBroCbekJ+d6iomIwhDxauJ8Q1/ptnx+rbxCh7M6Uiplzcf9OYjU6cP3a1RGfE5M+QC+1a
Nqfeb8MX0XoIeRZCQx5n4eo9G+N82VLsb6iZhsjpX5uosn/jJXRfQggt5+jmuyMOZZJATtANVVRZ
M7WMpkr43ZMb6/iZ9sb+0xFzgGCp7wsv4zwEPqQdrrvFkiY6fM2T/0WePIJP5Ljt1YTxaj265L7r
jH+P85rjeb7e961HIwKA+t/cVMWnB5qGonY0bQUTyyOWen4rLErB9ay7ROCGOAAJ/Hve2VIeUCTt
0PBRPFygsOdP+mjreu492DeGYyT56eKTk3YsJh3d6zoQhqNauQHYX11/TENTvSZ5kzxCG4K4bHm+
izPAZfo0DgXWFlNJxn3LyfbF0MCq4aGyTHWP2SHFWJV/hyVQxWlOxloeLFqIBJ2XttdyD1uyLpzz
DVM7o6qOci2BZRWKDv/otnH0cN47Aw6VZb+a+7mYsnxZwfbIb/Ju53WXf4qGUywl4LKigYi15BRP
A+MM4c3Tvw3D3201tto7rJMDX17FuAr4pnkgs0CPhUrX3YoPDIj8xsYSiR5Xu/vqm4iolhHdpQc0
xoiWbk3vYbxpuuRJN/kepCzrJUND7rq8EI4n/myVv//Jq3VxEYSfcWbC4JYvWc/+mO0bOEy200CR
n3MFLYQbmNFja4dCIJ9lrU6tH7l32MWm+zgpEBxHbstkX8hIUxaVDJvhpIee92YL1bubZstPCEVl
cancOXkSXUmKRpLA2N/46wabAR0+H3KO/RmLBXf9lVfLRKSzpktZd5NgF9XQ7keW1a7Ghlj3/ZNn
XWQBaMZmTDS5A9+FR245jqa0w2FyjCuzeMcCnRlnWb5WfxPbcVsmtz4lZdLwTpVJyKSFAHVHPlcU
9cEFEqz+MwXAzHHZhbtmbY8BnsHMNkguktGrrskfS9q7ba3ix6Bq1Hjw111h0+rR2D1g+YHUXvAp
8GWMfvuf23TufLLlnpuDNUBWp6JkMD64fIvTYecQZ7aoYan4YtUgXFAhL3+uxohZYqT6QiD0XBlC
LO/qr+oMheoVvo/nXlsSXs41AHcUIugPNLMSErKfw7sxgHfO/N0OSIvjoSaLUeYuyltOrlRApNy7
uYvkxYCkosTbkGUfFP6h//p8sH965dYPElW6cxYMgh2DxkYsov3wL85Xlj9wXbBC0EMmrjqAsNGR
cv4y8W06Y0XpGEHXKX5wB390L3IZ738LsTl3WExX5wYzmf/fFrj+GZxRyDPpEiquAIbLHX7U6R4w
F/guGn5/KaHZKTjIEAHxRkWmdp5KSg+arJcOP9jqOMHrMk/QyuMSQu82zpxcWVHo7WLj937ZucHN
pQTNuKpBT560v4IhkXG23CKI4JbsUZ/cMx1wXShn7td0nwExLuJqnACwPNwEL2CSihGkXz30Ul0T
P4VtjxiW66Z4GBVK4nTlW35Hob4+nBc9pDiOwg8mRD8/4pPMf5oBBDlbfcOGIU2skIlQqfKZlJaX
uRhKG6HPUsAVbU2w7pE0PPmjANtIhvWG8rWUnWbzdZLxk5yhUAGydeqncMcJFUTeACnh5lYDmvRu
eHV7FAAcsugvZEDmcVrNlJIfeIvt38SG+8oc76MF2YBqA1Q4jI3opKV6lhVehgwWKvwO4il64g6a
/VOfF/DcPLrT0dHFxIg/Df6QnU9ne/JqwJ1jbTQw9v84O6/eurks2/6VQr2zmjk0uuqB5InKsi2H
F0K2Zeac+evvoL7qe3Wog8OrQjUa+GBbW3tzx7XmGlMzJ4SRgZnezRrU0Q2Gcrjh5pLV+t4noz1u
AlUyS9BypXBTd5ya+zjPlYNJTES2TQDzPOHzoZDuaooBf1eeON3pVIs2do+wot03E/G3e2rPPNim
gpEzNoGq5RtcvBrjemr0pHjiXSA8CRaBUdJAhYg+X4+45TZ9IX1PskkVuQPyPPpl+VEn2Dy/0Ch6
EkVTu6JENf7VwDXUIuViZRqbhEJoDJ2tTxAeAVA4fkFd2uG3YVG6tFUKannsvB3xor1ccT1zH97C
DTAPAP0JrkEEckYUclHcnUijZpUIf0gIq/IPoc09u43LdmfE/XAvCAmwV8Hz+XRN6yZxK+0uN78s
+J6bx6uVcnwTjC1ZsNNaa2pYqwbZSmpTesVzKEHK3O5FVIIK1Z3FHTkKy5401b+qhgRZ8OXGl65i
GMzRuiyKZB0VfeannLaOT5iukbrL7NjjyN1UksdCSrEF3MS8KkJkTUTRfCqzyZ+HvKioEd3EGWoT
LjEEvEu9+bbyGy1rz5e/0QKxguDZK6uUz+HnKvswKUw38i3Z4ar0VHIVZuMhF15RjbZJml6D72WO
uywjAiD3PtLwkZADehJrZaSWCIDXXwsTw5l6KynvyGLlwA7dqjyJs9Qn3ErtnI+wIyEaGde5nruX
R2HJhphbmwkfxkw3RROzwKQUvZph844SBDmw+VMNDQV5HOVSXAsHbfiJ0a+8AtE5Nw1B7km6Ns9B
SVugLxBI1nlck4enHFC+15GZcM2V0OI24nBAPWftioza7VzRP2b/MFsc6iiN9XkG0r60mIFmTgUi
+hfSfYDwKLki/BsWX1KVs+BAJIjU9uWhfd/R0/YW82vUBQpTioLCw0zsedH2481Iu1foMRS04mXj
lmZZPlpa4m8vt/x+ZtMy8BkNqLFhyEv2Rj1quRSqzGwcksSjj7aVg7fIP8hqeR1PTAKZNlRkEMQ5
XdE0HSpWyYpWeqk5arP0zUylI0n5/pOB3npl3rxfF9C32T7IHpMQ5GueNmeqlmelAjO1ajjNGkLD
DhHHrxTXSPvLw/d+TahwNgzcyEn3wPedh/cN+ZJSrqoaQs4Gr5TLAzcYarEoHw4dBJ5UJVeEc1ds
18+2qABiogKe0oQlvVDihV2mLWu+CIT+lzcS6LKaaI4kVkF8D63RXOGMnJshWCeYFEKY4J+WdPEe
RwiVzC27cdXyXrGmoi7cwqi77D+YilgQwYSXVJWvthjLEDE5NwrGciqNEq1zY6E5GsqVVs6NH7hy
CfEULiho4k+/WG+g040DWmlQCOiUFlrTPgrkajMQYyWDTyzs8hQ5Nxkt0UI9wLWM3Wxe+2+miJ5X
mj+a8xSROuuhzwCDOIPvG8KmTbjUrOwkS0jRvNIsxRAZRRVqxNKmJLfahDswlceV5KfPIQk99KEx
0pWpuDbrbLYkFpru6XIXz2xfHAxAyCT2Sozf5NMuTp45KRoiURumABWdkuHt6pF4q5JG2zLxTKIQ
irpTFQSPK9098zWBwJJthsnE5qIuLiqdHOaBWbLSa681v8sUXkecxVK3x6ys3frUR28ud/XMapgv
ZFizKBJH0nJrqXurQWOXkMtCHupqkC23raCsuZKf+YqGDNFNl6AUgX5edAtcjR9l85rz5FgaUL3H
dbRT6loSt1ImokYOI3G8k9D/Bisb2tmWOQgoYcMsEF766af00P0PDW5gdmS2vKMphvFcr2ZtECSp
pZ/s7Yhde0o5vZWGzywT2hO5XQC7Rt82/2JvlklFybtBhSkDGxfDsc7EbgMJVniwiKCs7Ghn+gj+
T8HAhKUy24WfNlUmojz1Wkp1PrV/rlAhLRu0isLbkATSQ4FM+VssWWu84jMdtGY2PP5BGhEUcfFN
KZiGwdyxSEIJgI5YIUeitMXb+SJVCh+epBaaDwuXDWxvgGCedjCi6Jx4Eh30AAK5VoOOqS+1Nd7b
+6UwOy6ImKxqEN/0JRJQ7ExcPEp8YAQAAndxH6PnC6Ju5Sp2ppWZjcf/2D1B6C+2z5Z6lTTTLJLR
BhrRQso01DqB/uFlzS2aJSfDUJRF6GenIzaIQTdwfUdkgWgkvauA6+RuXgnN2vo60x02Zgmavcgh
x0w4bYiMkupnxE/tqYdMGqZy5SBYXCEOv98VXy1F4WVhEc/1Z9EbmQtLP2QEOelufGTzDMdNWKP/
KAaq/jdUWBfj949OOWC8mDUiUddma5XFvhEi6yZ+wI1ZUQqebIFZbItxGNzLrZzpmGGyL6oih5vO
O+909Hr4rX4VlzzFrZKUYRIY15jJ1FvTaAOnGPw1c57z7fEEwMiU+92Sit/JYmsYxHWQIAg1+T/s
RMmuej6VNpEY5Q/tUCm/LnfxzAShi9iYccrA/H/39IaPT9UKAzkGWUjlbk52IW+mj893mDwExjRl
3nWtBWjYqnVq3Ck6sNtE9O7NgYKnOorHFSPm9/cCQlEaR4nBWUlJ/GLtenoAbmrGZypY26HUhspC
1Uz/Ccm+tbN6kxrc2B9I4dVNurs8jGe+HNcteIEaXoUSsZTTmdKFYliWGJbYua763ygB0r5RmqfW
2yQH22HrMZKi7eUm3x8rGFMwlHMmh9NzeWgHvZxZPS7atqdk005DlfUjEchIXgsyz/N7jwpeyc7L
gHju5YbPTBkTrKfJAjRZf0vWLL6XXGDhDdodtKrbSFNTuy6K/sP3WLpnwb2UKbgC+b04v/JioJbf
RPhlJWa2o67RA/ImZAZLIUlSbWWCnps6HM1EA+cRRTR3+v1aBUssdKq8S80h3MH2QluXhAJUes+I
buARjjcaQbudwuX688eH02AYcRsxmT7aPLXe3ESMkNi1r2uo/xEz3UswnzY5TMWVN+q5CWrIvIm5
Q2o8VRd3ZphPhQJxHmWyHht2jWDhhzJA9UR/W+6pE6n3/0GveEoDuuXZw1Z92qsJnEpOiSCzU82L
0KXKvdCReQHJWpmNZzvGK3++fPD/zcVbHzIVslAIDRBcPGoIcAYmYVLn1pDs41QT68eJyp+1SNiZ
RmeTFN49DCZH+OJgmGRkysVEnc2IYxs5Kkq4RnTwOVwbP03dy0P5/ibH5OCFqvFO5VRQFntL2sdU
2YLVoSSqobjICaehTL5R+2WUAxXiYy+vvepefVFO48GzZQovK5Nx5faw+HpDagW+TmrCtlh26Sbs
GvGmHyCIWWGT7T2T1JEUlvUuQBmJB6BAesr2R4OEYAojb2XqntlvLMAnbOmKzt6+vF4GPcpM3KFy
tDWVv8FIFwmfDyn+8iif7/ObZubP8GYdRnqTdKKH+403TYNuV+0M18IqUtWcVLGaOy0NhIPYk18z
E4i1RUIqGnC5iStPJK74VJ2bX3zxv4wV2BkWqzUHJucZKl320Y47KmrVF6UqYyRhon/sat5olzt/
bogJfnOWcHLOpm6nfVf1CW8KsIy2oSkl3DUqiIwx7Vd6dW4iGxiJS8DxFb7l3Os3I4wyWE2GlncC
CL3yuxf55BFL2X/GeHvtKnC2Q7y5ZkI52l5xMYDQkREISFw4KkzEXa9CEUiiJli5cJxthaISNh5i
H+zfpx2irskrZGxTsQn2Q3MLpkhtXV5aVEBf/j7nRg77Ho5WAu8EHxbX+IrLvUlRKw0JjbgVUKa7
Rt4ZDwUVw5/+k6YAP1vzxRoP8NM+pfVQN5bARyqGprgzvSYgw2ki40VN1Edf/oPGcLsiBMcVW1q+
wsHZBNChufB2JGC2bdtgfIlC3O2aJN1eburct+KKxgEIjpkTftEvNEyqXqeEbhRFSx9AWZi3utmZ
K3vV/FOWGyeQZGMOD3FCLFnMWdLpYzgx77Ia3aTdohU9sDn2TwERqm3RUu1zuVvnZgbBPiSKqJXI
YS2OP6WhaDzVSZ3B08qcaKI8roowCeNeH6x8rPd9I1qiMik4+IhkLPvWq5KV1Giq52rqahd45UNu
VkekcvperMJupWNnWjPhLmOfgOfLLDc7nYd9qwi4jZNe13pBP/qpJXzG2onSHamd7kH0eSv3zffz
g8i6hHEO9wiZStfFWg5FHcG+kFPUTo79eyFNIzE3uX+8/LnOtoLLIcuYUAY5z9NeCUKnDxN0JhRt
EFjVzq9ukXCueSqdGbv5LkSihccBQef5z99stITrqY4y0dVn3djdS5I3Syao+j2qaa9/lUsv+fPh
bjEFCTLJ0OrJ8Cy6pehJFfoBTwIIY1zWU/l3mBkf9KgmsMB7QGVbYkPn8FheKWUB2EQ2dTzvcgWK
bg07huiymjlIMShQE/lmK6v5/ddiX9ew3+RNyRVzmRAsu4IKnM5Cz5eU7bUxRd6N2PZK/+HdnZIK
0cC53GB3l83F7m6m6H0QgMSQMZp8k8bpyzRLzSo9WrPBetchXZF4gRsiT2QZ9/LFooL0WwmtSCGi
VI7h9zQXik3cBB+Oz9MKT1OuE7NZAh06nX4IQVF7G+CGK8pwSzvOTFA4/djHyk3XFsj2otpCREed
PIsf0mW5mic718952+BFzg5CxvH0N0h46cwFv6iXqgStTFgpwbUaaulHz3+Ok9lji4OZk5mt8bQZ
ETx8q85hPMrCTNdS+pcMkfH+8tqa79onRwoRz9kuZM6FW/P/nTZShVldNbX+o6VGuMiFBz3cp6Kx
zSXZxvGGCw5FX/g1rMzJd9GFuVWKjQjrqjMwaPEN0RJC6x30H0N7tALzOu02cu45iR650/TtcgeX
TRE7Fsk+YJJDxJUK6MXmEcKVmJCGUhWsD/4ttBPPafu0uxLgrW9EnTo1InvB5nKjyxny2ig5fnKa
MleMZWgvgjqk9fkQ2PA74gfqA5LNZI6me7mV5en8Vysmd15FmY31FuuNJLQPDpiuBZQ59YhKhDkU
C0XJoa58TTBxprHZLIQ6NDLeWGQsdv0qz7Ep02Y1YuDRVl+YjxxonJhD431w4tOvk6YWE1/TPc+Y
SpqiNrGniCH1dsBVPnplm1sh8oM3BnE1dpLFvti2UoDyHjojm4y268kak2ybjO3lb/R+JpCdpQqC
fYpoE/GR0/VFxcEUaTrFiV5YFLxi6wDCYvLRnZfMz0kri1XMgwQmwMDjESCoZ8PN+i7G0vfLPXk/
AQhHgGbFnGPONhmLrzIkQiP7Eyg1TIv039IAzyGhQHfmShhrVkmvU/fttsQFg8YIEZAtIb+0dKjr
YSSoY0cWiyw6FBnujALF2kZ9XQlpeYv4Nt82etvugb/KzhBG8gFKbrKyN777dryR8TyRUG+Zcw3n
osdpCWE9DYxvVkgFQAlm0Rn0eO02dbYRFB6MKRkbXVw2AvYFjLD/PR7L1NoopaIdM7zqrN2Hvt6s
iFF5CJFCoSH8TxZ7RZskgxXoQ29jhhegXC7ML3BTKCFVo2Dljbfo0V9NccvFqpUcNnaGp1Ne8Yww
zrjc2npK8XdNB902EaSPbRKvrZD6ee0MFphLJcKU52CksoBKm0CGwEZF9LUiTmsJu6V8769myC7M
5ns8V7XFuMHN6cifCcjoO63aR0M5XkORa2+11td2AQ9mKrsGjUJM6rf6GBMVCqVb/6DBbXH4pGsL
fbEIX38dnVTAvAS5EL+LR5qZDEIPVEQ+Doldq3FyNYAz2IbUtq0Ycr/qwt6swde2kMnJTByS99yN
T7+jqqagn0e+YxBVn1uKe0BnKbvJi/cgi/daXv1ow/5HK2Gfo3qfMq39NpCBHrn1lU18gEu/FqeY
98rFL8RBbnKgW7NX7lItRIkFVbkmiHxRqizlJYX/Gh+zmiznPezMLN7G4ZTKjzDhwl9TCI16Ra10
ZvBnG1sRqRKCCeB7pwPiVZPcgv/sbKRhMHz1PHfRDxduGUSJe3m5nllDJ03Nv8qbN1YpjXIwztMu
aHThEDMhrrmMth9fqbRisUZRss1n4WkrFWWtXpawhtrJD7ayNQjbQoY19R/0hWeVRAqQJIS+mEcW
LgsJ6DXmUR5FP6iKrm+FTtAfL7dybnIg9WBJEB8hd7vYdRBc+EWXUlUdh1K0w7I1MKgIkfyNr/rN
tVhAdZDbojgqXdR9+XjTnFGoytB6vF8olFZnUp9SWqgQnLsZJK1/xhdBOFDqrd2nUOVAp+n6PXv/
mjbw/TRBOM97C7kSl2m2hNMPKPSkdoQqgt9hquVNFGf5PrDqtWzL+6E1yQDy6URT5IG3jNcHYtnp
YpGONmV5j6KuPXeq+dmb9GMHwQVma7M31OpjshY2HyKSMrQAwqwyEt3FsUj9Uc+zOxupPAVW8M0q
AIPvC0kJdQfEbBHAbKx9kjAgOqOny59znimn24wpcW6hZyD9gqRm0TTiGYrJYpo2dQTZyuBFm7wI
yg1eRxQ7NNVa5GH+ee/bU0mFoElGvLqYuaM0eaovw8Ope3AH8pBGXxPf97borCOKG41iD4t4zf/v
/V42pwORKCErZeYso+UBXoMURsNXBGgkOLGYC26s1ta2gK+1spedbYo3O0WgsAw5sU8nKaC2Cb9G
IDOQA3uZA0SMxY1nhVm6laJJ0j92a8NlxuSsRlDBlJ1z9YsTWxionTY1KjC0AXaHUMG3KmKM0z44
SWalOk2we6JS5GV52inLQ3A2waAClJea9WbsgyhzEz3QflMbZsJCK6I1n+F347hocjmOCQWAJo4G
DqWehSup8UtkSI2blkm30rl328qrDB+JA7cr8tb64lwIpjEQQSLBEh3L9gCrJHWoDcpW5sX7Vohr
kIUn0cmRCrv9dAihinaRUVKlbMW1timDboLYpE+7yx9qubq4u7CqWFfMctmERHraCpVZEp5PKF1a
zxMfB6vDNMlvD6NidDYGRMNjl6+lh941yYjxcJll27Nqe/nmSyRDGZSaQoqwriR3gF+uOVbeCPcS
ZKU7y2xmXt3YbC53dP78b7cRgmIy17RZdkijiC1PO5oMfduJMUZQzTa0W6ff5DvlRnbXQhvLTCab
xmk7izOH22KrlwntFO6Pp8zFe8P+fbx/vtyZ1/fIpd4op70Z9Dqg8o9W5B2CAhsvj410C+bFxf/E
0Tak3uyryj6Cz7fHr5fbXj4+3/VwnrhvLl88nxO1mi21hL3q9A4iePuXcWMcP3quLkdyXvBv2hmS
DB5ERjvqg7crKat/QtB89FbmxfL0XrayOF4ox48SYe7NtMUbxAEc6GROsbKW372Tlq3Ma+JNX5Sw
ktRo/l435eZn7Hx+0XbPT5/WnDNfzX0vTYvFtouQORmlkGbKDbJTB/6A/QRs825yjC/wOw8rM2Ge
y5eaW2y5Fo6VbB801zs/gb7avzL7+Mf5tHLhkM5sGG+X7vJxntZZbYACnXsFAcshWOTgGeSYru4+
777X7hdYQWsfbGW7WBZANaZSWMHcZufysGOBhZuvk/3ry21g39fuM28CG9jmysGy9v2W4noFSIec
zN9vdH5OW3GHI9am3ga34cGzk11rr3y/+ay/8P3kxS4Sq9RQUl44dzJwUv6n2hA/HeBsK8O5PJsX
038p2VEFrIgCMpf2rGi3O49SiLxqj11srPVpba4sNg3TiGozmxeaqX1rvX0IK7mQMTvLYlAkawnn
1zjbpQFcbB6RKcgawLG/BjC5w6fBNbZ4wDlfQjd0/1B0z0Ys2n/Wevl6/7zU8GI/6f0UL4GShpVP
8rF+ym/Lo/LTuyfcCHa7eB4/Z8fwTrnXPq/MmLXhXWwwfjOEej7PGIU5A3mB+dntueU5nm04xSbb
+K7pmM6aZPtdsGU5gRY7zShncVLPC4ME5DbcS+7n1JnsF88uGN58K9ur5/i5DYCEICL+uVoOHffp
jl3HZpqJ85TFhHgjsT4U1+LmoDrWVepg4fdQ30O03lU79do6rIzyuX31bduLUYYnMyYkSLiruP1G
f0q2wbbfjm68rQ/yfi1mdu6Tkk8gaYGojqT44kEQAaqOxqqo7Qr6uyhRfQueSh1f2qxyo+nhcteW
GwHXfuKeBDsUBZE/ooXTUdWbUPaCRJ0cQWmULXwkqMpSFeKxNk4re4662NxoCmUniX5qkEwDLtZp
U4kp64Pc4ZzlUaV+lVtZhh5YSVb20OXoza2oZLB4DczVssu4iopLNX6Q4I4aqnLvgE4ax6pLakcc
5fQuKtL0C6VM0v2HR5EIDs8qLu0kQfV5/ry5TeSAEqq6wKsRw8liA5eVPVVt0gdw9cnaXJy3sLc7
DR3kDUfgBiG+RvnVYh3gxlNNliGMjpF1meXAvqi/AH+DoVRpuRJ/TqSuAfiaGkVvE9muBRs2Ynqf
RKP3pDVZkwMQ6LruUKa6/ICapMRjqAoL0y5EfJMuj8u7yzc5V3JjukSoCV0YuavTgVEx0cgaw8DE
Uuo6PEeExB/ZDWHWBu5Q4/MKBlrrhmiLw2n3XJF5/OXXlm+6EtnBaRsVir5W4b68X86/ksL8IL0F
6hUfo9NfSQDSFOISPzhYLMSAhhXZxowi/U7gHxhBX3TmcSxkjt2wG1autu8Xm8JHQ55GPJgIvbI4
nSC5Cv1IdYhTNeaPEvHGlwb40B3EzTWV6JmW5koanTQ8UQW0PKed9OvZ8s6SJ3B6kY6UglonNx8j
aKHkqV4uf+T365oQJjEvsAHUaojLlLxviEOag7JyDFA4m6YaMHgq/ZX0ybtHDp+NqkoFSSYJZI6A
ucdvlphPckKJprZzPCHw7AFHUTtKfcVmQqXHsJ3yjZF4yUYWI/WGbH7yoqWjtLKDvV96/A7obuZq
JWRmy0jbOHW9n5esLhOWs77xc0/4pMYimkCrgYVzAF8MyuXDozvvYxT4IPWRiNSf9jvVglTJE49C
+zqHgDOq8TZNDWX/8VYQN8/JAjQHVMqetuL3HbmpMerAvODnCQkJyjBm2h8eP1VU6IhEZI1c5es3
fvMN41GJjQZhiBP2RXaTqLXkhgL0mR56qJu2g7f9aK9mzQaKSjIgzBx1MWfkUawTvGjhw0+hf4xy
YTp4eLKsPBLebyimrFGzSadIub0THVL1S0pvNGsHf9jMFUX4NwmQ9r1oasLGTLUeMuxQdwdPqP8t
yfqvX8N/+y/5/V/bfv2v/+G/f+XAnmbZ2OI//3UT/qr49n+a/5n/2f/9a6f/6F933UvVtNXL326e
i/pv2zb7/dyEebb8Nyc/gpb+/Zu4z83zyX9ssiZsxof2pRofX+o2aV6b43ee/+b/7x/+7eX1p3we
i5d//v1X3mbN/NN8fq2///uPDr//+fdZm/pfb3/8v//s9jnln9k5tOyQaM1fP+t//8HLc9388+8w
sf9B7hiUmsTxY4nIW/7+t/7l9Y906x/UsLGyXiuV4E2wsLK8agL+GX8E8gKdymulAWXq/Aqsrtc/
k+V/mJThsAkQbJc5SeS//+8vd/K9/t/3+1vWpvd5iGcZneGaxdJ6c56r8izpmCNgyGJQyi6Xntl3
ldyTxdh0LUVhGyKKORYFkVy13U3mh3L/WZj9+45G0guKjQk0DtxVLqnjT21s1J++X3jGj0bCOneD
kAxXFEXXwSUnlF4prVOMmHTBVBOyxybHqXsrFkUM1KmJLAw5BuziA2pFxkwCpGRiAEmmvQfDVSla
eS2KuYqPW6oYQf85kwoNdCbo7L3XzTeNTRdr06ACxirLetN05Rg/JTAT44Na5lW6VSuj/9NjYvYD
vqJsbLEco8h3NPQNJJPIJaB+O4jK8LlCA+/AqzNw9czvBEwQN3Ha9vzV8AnJBPR5qsXcemaWG/74
E6mycjUNAubRvucERofzdYOB/ZTFhNtC1NMFhjG7KRKuiKsXV3GssTL9uNlKeuEBLrGutFoDih1n
WIkFBl7fivpQjxMuu1VR4kzd+5suabrbKeZyitBYd8F1P3iIRW1c0smkD8GhCcbqU4vL3sbsfPOA
CEl2wAbhoqw1L1kqDRCvjTuyXdWh7IRjYeZ/cBl4ULR4YmMFtA+44kvSdlhpcyPeYsWRP0iJ/NPC
oQUcd6K6qleUX4o0rODupBkVj/FPwTd/UFiq2MzLfKeL0y9FD4Q7UWmLjRxGpa1WeEnHJvI3OQ+7
T7HVfhtZBI9FQVerV0PkzMcBQB7jHyEzYB8WeoF5mY47Y2XiOOOnCQUdRt8On0OJxMTvfirjJ7kT
Qyr7e6PVP5VZOB50C+zpseZGp/z2usREz5DnsDBqhd1Ovo1CTJC3BQbozS4SQGcWmLCYGwu+VnAM
WtP4BCM5kwg4j1DVwb2pZSj1ANwkc2xvzEYN9HtjbCwz35g1Ncfmn4Kk3The+0ZbW/J9oIIyo4K7
b0QpPNYV1d0uZixduaPOWgk2qj/BzRWLfLzC8wWTBF+opE99ocnPxmSYjtBMw55NuwS3qFoPGPNV
+5CyZEfC3R7/m8YLHD1s9G9MW8WZhBb0M7JKLFmov98HcVXeVF5U/FF8pbEzHwsKB9dO/dhn/ggx
9BU+nBceVatPJKwB0RlR7Dlxl8mO7/fhrTQo976RA8bFsttpTCx6bCvVQS7OTH8+ANag3VXKfmEe
ZSkZC2NXl8Iw7evRKBxcpoWrXoKsbVrNACZcw4MNo5GNFaDpCF6JyfUrPbkuqgiD1GzwKJfCRNv6
aQWlhwNNB225DzzIyyqJu33rAeYdy/pLUOXaD6HHlcLEGYKKZVB9W/Iewb2a67g2CYK0sQTJ2sIT
F7dqWUEjsPzCMT0T1nGK/CnIw29ToeHE1GTlQeo1wa2iGckZ4JViZWH8EEbThEPcKxnaV5XIvKtD
nKsr1MyHwsfpOdawyTTFqt/CYYVUDdv4Km96xe3zxrwxZ96071NlEsPW3fBKZTAU3wK1Nv+VCcwN
Hr7Jzox7cwezIQDHBKjqipoNcyfmlbkzZaHmgNZFJ2qxtq3DwrqOJ8u8zTNVcXMrEveiGkZXfdAL
VyYl3l9CTWxwoYEfXtdVshm56dXA1T6JrBM8vGdW1kzPVkfPtEXr9beynvyKHcvuOwvzBj4H7YZN
9e31C+Z1Ie7zYVJcWI/8BEHvX6oBV0WKqp7jfEYP9apwrDBdOfhBNnw2ccKy2Xu9u6ZRakcCUecE
VREesBpptrUKxHKm+WwBulvUvsYTgnpLwXkmhM46jPJdaXT9xoRy5ISFNhdr698xG4meX9vPwS9+
7Q092cU1f0Msfev2dQxzPx8+c7lvDiY55uHGT7TgK859/m/eF+ZNpgTKb4zVxAfcA6Ln2kgyt66m
6DmeCeNZ5k0/hxQsdmr4LXw57BMdjTff91gShkPjw8E26qH7BNVUeApJWOMWaQG1R14HjjAzr3uJ
LGgqm/0f0JD+TVybuLtLEybFVWYV5ldF0/DQPBQejOZ4HmPkeSz1V8i6MugFyPWYAgfctIkXyAEl
rEXbHMlr11iPGVp8wDwm/lyHmnIcjHHYNb1+h83Fp6aMH0c92w+ZMrm52W8Crd/JSX3IDEC57bhv
FeVnYZq5I0a+6pp+nR0pk3j1kb5D4s1EN6V7HAm+YkKZ43pSIlXWubdPqVTvJqERXLVrmUwjAL+w
asD6+HW8VVut2Hi5qSDwnUysNEK0IKEFItwM8DlS8nonBlnr6F2oYHdowKj0NX9fAUklE6+n4Brr
5tkoJQSGbYVtVT8+oWUOGX8gtLL3o628X1pp5a6UCZ+kqi9vOUss1MVjtkfbkG6i2cqSusXebafA
2nSTmeytJta/DDkWqnIw1d9GbCk2RmcIV9S4CLs6D4JNVknDjvzXQbLKkY1bNf8MYr2dRmMvgjZM
xwQQsxJOjzWe11dCNexqT3G7XlfcYpTiO6yXjJtCGwLX7Bvcbo3QvBqTjFB7jBIFQ2SbcijMAP2I
h7o3IrGsj2UTfS2baVfoWBTo1BntSBBgNibFv0I1HG1Dl3CJpU70T4MuysZjA1frGikUDhYYcUnj
fmqFctNqRroRrQHJpm7hxNGbW3hLB6ScMnBhPcHAs9B4n6SDm2c95gRJwDaoGcKxE0Hii1V7YL1G
O2EY9U0rFYfGmvfqPCD6NGbP0RgOHIqN8tCrurLjleVRQo19QQpF9lGq9d5RoHZCxU/MT3llyDsf
DDGVuh74CCEJB9fH4tytRcmY3MRQs32nS9aD52MakfRm5IazbwLZv9lCoQjC26lOkzuLFNCWvRrn
V2kUxIfK9Kqv1ajqJRHFsD2YuEC6XEjNCKIex4g+ys3RsLzfYWeOtx6eLTcivhxwxVXAtkWRPoRi
mTtTWeKUzSG98VJ0yBx54LA9tVV2lREzX2Hw3npiVm4rEf1dWuC/xtaG5oz06/QjszJhZ7Ra5UJ7
qZ1p8vtD16X6cQRKsMUOSrgKUzM+aFktXSl6ZOx79qvfQ5sXTEmcS6K86pimfnwtWdUEvjWTDp2u
oiZHJTo4ALms1CW4MeHHZCkjpOtRxn0kRPZgE/cYXT8UeJzLemBdUyzsu0ZBrqMgcnGThzmR1ThO
tjmRKUwUxOpT1ocYESncGHVz9J0iNsYfsC0JOiRy6ONkYviPvA5619C6aZMNffASabm26bM2IjeK
2wf1KxqTYpSwvUgLDd0RKghv6sf7opeth8Kr5yv0sMXnRrgF1Oz94gfH9xZWbJumZP/vxGb60g3j
TvfUxtbBZh6m3joq/ai6ejyOL76c6r9NINM7AVPCkhoqbGMVdR9GHiY1GBzvBikCeNDrWAcFucfD
PuRMMiPvj5Wm4UZPDIAaYfytifv6hqhv/qCCKnb6LH/Cgi/eFHgGH7MqDj5bXBldorvhQQfP7MCx
znfN2OqbCFPYDeUtfzjRHycZdAauC+xoonnbWe2jJ+J/ickpjM4ev/Z9VXGaeFaQPqhguWxuNexq
5WB8Tazmc8TV/uhr9W8DjykRN27Yx4LiZrOUM+lx+sSBZNIbtsus2nZy9FPvI8tt/ejZwBZi2+Oz
aEtteVexxqjSVFWb2gJOWsxX0A1zcPpIBaBP4MApAjfddI1xA21JvuYtku4y2PMO3rvBEwE8CdoN
qIUrnyiekxdIxsJCdqBgzmZUeb/FpCx3K952OKxnxTYU5WczSuhfJGbPzTwjuMQTRwwCWwhya++p
YYFNNo7PLS6eVxS54aEcgXeqEqs7tlCInFAcP42Zqe/VEiv7kMIlu6v7xPUS9TbT9GeTOG+UqfJW
NOJpM+IB60CKFbZ16em+LSYxi34qHgWDO6Xpm/NHfVFCE0Bkqbf3fg4LuonLl74WuOgC1KRWJoP3
jQPzJzkw2ocOMx6gNaEuHydMAhytNCMmW+s91WUhFC4XLH3bc1vCAH0qD3FYqTvY95UzJNavrsXI
K9bxFFVVvlNdyd6h46jbJwoWKkBmQfqXR0/txX2DJu6uw+pAwCF5JwSpf5QsdQatZLiGomXD0Aib
kkKoZCdp62k3E31tjm0l2/BI9w++pjKduYG7BN3ERy9QhK99A/C484aHMWufpalIvmR9ZauNWjzW
ghJ99qnX23VqpXznXVVvB1P8XVKReCQYxV5olHfiINxR9n2b4rXWm9y0MnzinKKIMtSs6XiQcqWy
mbg/4yG8FhnXrx6SX2xmSr4jxSyYo1jHWMcdqvIwyGggY+DMDUq4k5N4h7xLFmF3FOp1rzbZY6+a
Dd48EfZaHoWJmF+I286amj2cY7zkMt+66jyf65mAB2vQ3hhWh2VSKnQvOCdWT0oopTAcQ2urCr22
Z//yOSwL74moW3abhPD3J9x/bvrZzsX3TNHtYR67wMcPgsdg6ogV73tDwcRkrLU7MG5x4SAPrjEW
bPobrYkxzpMU7QZT3NQB/NzcRmzOTiDg6AzrurwN5THdVcUgAsP/P+Sd2XLcSLZlvwhlmIdXTDEy
OFOkXmCiqMQMOAbH9PV3RXZ13RRVnbJ87pcss5QqEYFwOI6fs/denOKDTN0+GkAsYbFk0z19YGW3
XM+hFCu2v5qjxcG7k++AYhbKN30NK81ekcnUWRMgSn/PJsB+hFfibkJ1uEOwLc8tD/ZcEhxsbXMd
WG6hHXOrM1n/K7XOaL6uUOEDaMI4EtmzvwBn63dzlzhPgObV+3QazXPhkb6dLLNCYe4RAJ2u6Slv
yvsJgjBxArYRA2f/QnKevXdNYYV0/52gGrvpME8uM+usg9qe2nkX2+uS3PHt8qgD+GNuJKX5EFys
x60w33oiUhBYlxkoAGF6d03TbBH99+G9tWvQrgUcZiq0pPTJ4FBDKRs0E7NNosKMKNQiUv3U4G8M
XXm1kNSLd28a1fQ4uHpKAHBR6CH00fUha1Mt4ixcgj4Df+ekhTxzRB2j1kkdslG1IZT9XD61Xt0+
QDTgNWCyz950RrXt62rsTwY04YtM3OljXUr28brT9w703ceawZ1fAVmMFlJ2X0fDXsDsSPrrfSNu
yfPs3tTOFHTaQW/6aVkssYat0R9NK3sZsuI+U9sbk8N/mqlfK0sMzy7trKCEKxMLJqe7xku63bZY
z3kHPLC01vq106vuXOLN9Q1tzr90QIrOsqAIAF73jbRXQbhNsu5kb21n02p+qN6kndI5287JjMxf
M+WyN8plpJqQDqYyHjmvSIe92SCjtq7xLiJJv7do22BXJO9TN8hd1dc3PcevgUiW295ZmnvnyoVL
bLe6yqHleaTiu1f6JN85TBVgdgLH+9o0VnXm1uWhU7nmDpeBR6M3G+4divE7yWFr77aJehI0HQL6
nOSLW520gb7wsFzvEdN4EsI1PtDWoPMG5xWqmW2FW4b1lEzfrniYM3LSSeB0djPdvAAg1LzzGnxE
sJ0VBMWJiU1uQ0jcJfUj0O8lSNFVcmOy7igoh2IGkNTKgJ1Gzj2WziI0cHrADZqyCFLutAMYAvFq
hL1XFjK5LOgYwY6tddiAT/3arnyoYUoLptyEQO910dUPG2V11GSa8myPHE+yfhlDqTvlrrl2CVRY
YLFS8LZdS/Xgdeq453NlBw/hbECvoboxp6rfpeaY/1FtefWtcYQWYzup9kBQh93U1evbINh81NTr
K5+Nz/xu62R0inZzv7lWW0Ykrcv9Zo3u3iZBM15p27xWqoSCmZtkSeVy1D48qTYvoyuGiiAW6T1o
wlVvu61QvzfemECedQHKjo75Q9JOChklpWFbuIsPTb2JPUmHRociTQNlES+0oJJ32RTtBRz6SBKq
055TMXYkyzbzd+LcvxipCbE8zbu9HAcKGwvI4ldMmeaDvqiQRZdieXNzMbKFmO77lAOUE4o67Ute
3HWwwGp5GCyleJyGhE0YfmkwQy14UptVObaLtoVDl+WBKXgJtRmnZj9F+ADVr9VAfoGcOYGFyt+N
cq7662sntf1Jr4u7sd8cwDhXnKQ95C7FQ+9cDFsp19O8ebnYZbYBt60GQ6fDwDOFMxjgFXNeOgUY
bal43QEqqsZZLe28WwaHzgPdtvIGflL6rdI7mJgI80BGQR8Bv+pOX2otVcNk5f3f03MD/GgnJ8+W
Slitio4/I52PbZ4L8n/h93SKovyQAre/ruZ3Q5dOd3rtLMc2gTJJoE2+S7SOvbHcbjzNS3cT/cZz
4ZTJvcLPRlG6eneIzTUanLYbrLISNyJRkyN7a33JSs2Iaqtbbnk8Rt9Z0/HDoxASbfoO/OtdsdRH
k+bqWWmaL6OWPILdoB6a1ClULZLyHJaJm+kfdc0oFln4V1sWUVXBXejBTp1oLlZPo2bqVEF6qJbO
sz2T4O+S/oewII014Mj+zCgKdEXSRcaqhxaFrK8QSRJkTIP8lBl3U6TrzuomtngxU2Cu4gi8cnzs
FZdlMxBoA1ea7Q7WwVQ0c5Ch2j12BoTtalxf0ka+tp0HJInE/6GZ4pbTqE88+3QDQSCHQ1DvecAB
HmtKciNG6CUbTe6TozbOftEqSD36TLlmuGmYepkT6MVYHPDbjPt1Gdbd2q9VqHrlse2T8YZjEkwY
XJPvkwNGmmSVhWdNvzfabt53nhKbEwQvPTfSneg38weGi/7RRm0QbaVJa5Z4LSqFqgiMHsX8nC2u
r4wFoM7M0iPOVh6te1nezI1H77Ue8cF0VsMpEnCMVOHDOpmp3hXFqNzknUKuLKNfM+KV4t1iTcST
mk9PNayZUBucBMrnXF/xsFrQWUYVd3aS3U8j3QN1dpRwMIabDYYADwvtWyn79EAEX3vT0EuKnX7m
HGVwyO5b7j3GkqC3NeVo/PnNWA5PS7M+oFW5xviWgOj7hKqv63qIWdAuvWyKOtIMgtxajonUl3DA
6n+Zi/agt8UXAXJ6EsoHynElVHIdB/fq5Bc1He7VFQDX5IwrWInE2W9I3EM1dan+yHd37aHntNK8
0uLpggkFNYcoN0MFnrrwHa91e63HLbNMf5N1pOC/u5+EwQKYSYjFdh8MHCcIQFE6YuImxS89A9TR
Mru3GQ93YOoijyb4sQe3ds7w1+NBb1/nVSUCrcJNv3ZuAFDyy1DkbcTxIfGRULsxHNshtkq7Y7qx
qSHDiRuzaJ8Wq+D9hjWfK9vnhlhuH0UJ2uAsm6POcJZoq5cc7KOI7cqku5chbmqTRff1vjSeHGV4
kx5tOp3ZMXhmZ+GNqZ4SQFNBsbpzCBZyOJnu/DysXk5zq1XjWqivhWukbC3ltLel99RC68XIZyw3
epbDMOYsuvMMYRyFJR8cWzAdWarpUtEZN+gC4Prz2iWPrWaNPX36OmXeo0UAr1+0xY6dXoblqCfs
vcI9yKVUnygfi13ufd8wX9K/Ix2qVL0n6sgvab7cctAgngpK1mPO6HVlnnMp8RHEErPjjaloH07i
0GgSoQqjD/q42Hnd1uxn+CpHw112vDHBxkiWhKPl8269HgO8CoGUKT6msT5Ao3tOusQM21J9wH/T
Hou0Ls59zcnW04pQ95pvtpvR36o592j5xGgrMYdDaViUFwmvD6Vxm/NWFEdOSelxdlSx0xXte6WJ
p7TMv4GU0Y54krV9ORfVvgZNG8LfLU/piHHUoFQ7q3YJo6V05z2BclMEycS7XQ39w6in6rFU9eXQ
Kt0KO1SIe8PtJt9tMhyHGf5dDu/9fbrpVy6DfMsXXiPnOZ3DPHtiS58PFf78q9N33ZHWyGNht+lX
AYkEzGHDEleHIqDuOgDrRT6fKEU4WNPOaOpDNW9vtdTOQyrjDcez3xHRAJPjtpUsQFixZaxVxdsK
e4/7fVgME4b7dXmWvObWTo3ouu6AYz0uQxIuBaM/TNTJXZ7xlyZZn/puAJk3iAcmbQ/G0sdSzw7C
csNa10HXdEmkwagnNF2MJzMZw0Zmd9KDQJ7yqIvlUJZGxp/Kj7JaSN5StPehVg8WT8PE0tjNsrhB
dnVACfuIOKMKJrM+LkN6tIwyckzD37xSv1uKVvOZr0nfo0MZEtF6RFDrcZ7s7Jesb14tNBsZWb1v
3aLcWSUZadrwaHYZwKhNO8xMIqHCAGrfVvFKhP0lSxZfqceQV1QIQ+QZHiEWDAG63DYuhiaGSIMY
f5Besl7SpN23Y54EUBHNKK/x6+crsy5dycM5Xd4BSDtHXEvlcVIgx45j8orv3fAthQrKrmRoSyBk
QqZDVK3LW41RLlq25Ebn2GJNqhr1XcLewHNUeQ4T3Na7BfQJrLRzjqmbeadu0HJOeEbjfKEhZvkc
C3NiYMf5lri+U7dRxxFdVUQ1WkYYQYZ4Nft1vFscszgqRZ7fICQTdBKcgm4qarLKsHf0WfJDNih2
POrXSBQGi+LFhIj2bnYU7MNC34VF3lTfctvitE5dDRqQsYGxKpE69CJaKOUUUX7YNlDCGt0GAxlV
hou3pRP1FzPdWh2Y59F6yibTiSAP3RH4UUSNZ/D2pjQBBhU6A/YGSSc5pZuRT85j7qrlfnKWKTIH
+d0sSzoPDKnoWfgwnA/8ggHVYEtTXTYh+bQ9m4ZlHfW5ftBqe2KkocSZXF/MpDl2Tjn6UlXvbLmV
kQ41MKiT7qXK5B1yn2dGoaVvC+b/im0WYael/aHZepIDLPd7n0LTWxRV7qbCbp9kOzlH1yweiLc6
uIlnxLIzksBYNEyW5nYPsFZEdT+1aC230K7Winm89jaNqGLmThSA9Ji0mWp5b/GLOk5p+3VuUbim
zm5lMOq7NGhhig1BXREKtrjJpazTB6ehaTFgfMrGDMyLue2nDHJwgtmwldbXwdW+ymmpgp6ZYjQJ
3I99Mb6krfzuqVA7Eo9Rim1Fk5nmrGPjLpOziNtqYBRUqd/tMq/3iu1COHGYzzll5lA66NHkbh0J
ANUJqGuYytk+tE7xprQMI8pKp1QcL7CojZ2ZdVq8Dd2Dm2gcua2H0Xb623RxlrBPFvvct+TfJSPt
7anmrcz2aRxdAMYOIrKQGXR2HKfcjDeta/deSdnO+JxmOm6vs4OmO+hT90XziuHSiNKCB56f8F3I
yGnSvZYst4XJMlSvL5qEA0ZflBEy8IjJJbj00ujpADHBLfXidlYBVLSDCizPWZtgzvMylgzswUFR
KJSunvHUrfmhcmlaqzbpBArHAuLLp7NVmY/TNtnRYs33RD3QZ3TUl2EoVLhVwuQfbXbIJ/2bQcCo
1dY3RA7XEeLw6kZNzYoC1IP1RTQ1FbnB6aZWnIYuLge7nLZwQd/TeJkMsVQIaFLcsj82XSQdFCGm
9z4Q3HY6GK10ytOybDY6+m6ojBtmslofaNZU9ofBVTTt3Ik+g7wKyIxJVJ8qShFbA3TLkD56/60Q
WUWffhy2LxmtuuV+oJUEy51m5LzjD0FCj5w/26hy7TW74/2e9Le90q5/bPAZ+4hRu6BfXxOev69r
qy9jXOhTqvsLo5I2qNOuVcPC6hXtjPqDgtBeneytE3NqXEa8mOJBZyhGNc26L/PzYsH/fJj6xKNw
TXXCMyUapebYpJknY49xN817y5N2IIxuUomSgUH5qJZbWyon1LPbepkXGFGgLVtaWuiRhzEE18xp
AbripOUL5JV5MV+bbt7Uo4df98prXExtjKh7bPc2RzzBOp5rxfY1IOPhrBU57sLa9e5QU7gXwgnf
l866c3tgl+Y02UQdNfluLIf5AT87WpBCdPshSZKC5STTr3UxizulVKbS75tx04Ez8i4N1EZzDwg9
SJ11rKc6LV/T3ontIqMBriWBXsspTkvjzp3rDyORoYICBwzf2pv3DM7bIwA24QbshnJ7MXPpun9M
fa9frz/ZJ68Znmcx2mwwWaykyffMBMVVV87OK3oiaKmB++q8WrkWQi4dIbu1OaOQbGMIk9N1dPSY
4UV1GCb+sCnG7YBzqgr7zkP244zLS7dZe9Ev7SkZdQ5vlL2nuV5hJHiLfkKXmYXO9SY1QNdpffc7
UAbtYVi8dTcb4r1R3AvESjiVeXckfYgRaUmaZFBv3cJjaWWRkrKPkvfYB2rGEzKPjvacDA778aLb
qCNV6AGiWZEyFMlBmXrzy0qyJjPQ7YsYy4+WoiMcl353NUbvHdEVQTp6QII3q/jSCO8DTWJxkK28
tE5f7tppfgL4vJwmOl/3XedWkTU7fVzk6tdmbLIgzwbeMoZCP7rfRBoXHNAaP5uK9pvjcqD1SBE3
F+bkSzagdM2WqEG7xqEKtygBakeGdsYeLIIMvVUXkanN665KK5sqwXklFZaTMgEY96mW2Gi+Id7b
ukdEuJYA7IFLc+M6/YPZuOLJuYa/FXKz79H0efu5S52Q4Ur3PZlBmMy5l0ZeZy3MZgZtP0xovAiG
4CxRMKnNej2F5cqQgvcsgLm+aw487fRdXfeUI6b56Bgc0Nzf4C/P83brIhINmtKz/MRSkH8n5Rvm
6zoccl5trV48lsW0BLW7uBFj2McNrN8N0ErGul5HNejI0QutulheWtOoKWbQSB0ZeMsVpQX3HuV1
u4JNdL3tG/Iw/b3yKqu9Hz0Oh4QVTlqMYW9BLbC2xRADhlaPVlGL9w16MXqTiS96NsnWbQOlMr8Q
FZEzYWzFM8o264ToUeLbYMApt/64XbcsfxyS8sZ0RcM4rDlXyAXB19JzAW88wKGguNEGZdtTcxQv
RSkyNE/ZfNSHZDmygVFYu0l1pa+zDqIm6ecs6KVG1TU0s1CPRA/x9BmjXNwPDn3NEEzS8iIXUtcZ
QHTYmt18XOC0PUAbH46urPVwyRT7zquXNWYmUVxGovUfMtF81/tUv+EhboKyrpT7tqzvCXMSh75X
zEfGIjtaxz+IFHCBhBRne7LYCjfTvBdSkxMc5kQJNzstEjRA2TaeXDv9alTtM5NHGZI6GslOVQ5F
whFZz/OHpWSQZ670pngP713wfj+aDo1B6znBsLa7Qm/aYOm2+cAOEVsWoh6gX25U48UhQbsqzVCz
Eo03s13eIHl/nDxme2ql7Zh8CV8355MwR/2gE9QZJATCBFM+x5tbcu/necjv8F6DtvQa5pEjUR/d
WqehhUDgWRfQc1Mb0woHw2EM2qJXA8LoxoOWlYQsZHr/vBXli+HqvLxl98EBaHxAgofKoZ0fM7bd
Dd3VsvxA1v1EgyiPJfMWJvUPaa1mQdJ7DvX3/EQJWpCEyj7RyXKOSym+bF7t0Z6t5mMyqPw02shM
fLbx+Hr+3M8kJPvrAuHqnFqW5TNAd54Nwl1uqtmqYoQM+W7x9IjA8Y/Vq7fo2srn2vS33GKjDy5t
AhxJ6xnPTtY1ZqxryrtUXTuiT+Qe9CVXL65cTZ46VliioVOZexdpGonIgIgte2+gDiCXCchqoG2l
dtna8WtpdfONhIW3q4phjSqZmieGkcPFWDrTn9Tmo2E9hkLm5anrka36dZP+sLMcpVAXzeMS09E/
rzpPmtc9zlOLnI2hxb7uprOjOKHmTdm+NhB0GOOmUYw3OZA7NWep66SHOB7SDLuNOwYNA8ofRu9H
T2p7yUhOX8cqrAcZTD2KiKHQHr10vDi1ONekM9IZa6dY1CkCW7O3yrAyHRmlmyfORdEryHeKDDy1
noV90zFNTWcttLOkhf3rJvuhN6/BGkrM90X4lXvrS62NbVA5Ge187lI55Cmy3qL25VI8KAMcTqjj
zLc84XvWkvjjjKVr1qy7tp7KU9VYzLSYmOdJPZyUcm5ixKCAWpH6ZBoledvSqDRKdUL84L5VmQpR
dlG+G9r6CN5JD0ba71HZT+d5LpRYmawry3njeGi55o9r8/kwb84PrRhNN9DsaYxKSgUfTvd2aLhZ
N0kjQSv9H7fEv2XoPwms/6N0//9NEG+hIP9/C+IBr7T1+8+K+Ov/49+KeNv+F/kfV8k56WDuNVvt
P4p4V/sXOBL9mnBJ5vk1S+M/injN+heQIYMRFfEXqomF6X8F8ea/iL3hj4iquOb68Pj+E0G89bNz
iW2EbEMXixYUG4oFDHU/O1GsSe9XD3p5zFlmPNcv7cN4tl7TB45acbKD3hxAAr7QzV3O/QFs7GEL
RSwv3df+oeeF+Uf51Ol+HRynaA5pUuFFDx/PIqB+2WGjxiM+HLDHhliIfJVz9BZv/hqXH3+55f9e
hX+V9f8ZmfG/ov7/+y1MUhqv34JAxp+/BbN1m82Zb1G9yggK9gE6AP1X1dfvdBksL3Zc4MzNDvXJ
fPjNpX82Kf370sRWmbDgbAwF/FR/NUoN7AypRhsjJromXt4KI6he3Zv6xdV25QlB5WFz2TTCrbk0
v/Fo/ZcrQ2TguhhKCXdSP7nXc5e2iSuHOoYqEjdueZ4XZ6dly6WatN98y18uZWPKcGnwXJGWrMpP
9xftlMGYwMpjx8VPnsGVr6JULfYIfKO/v5/X2/XTL/npStdP8hfPkj2rUOp7rjQZNIIeq+X57//7
n8IU+L0IX7kGYHs8eNdc208XcGWRQwzjVGm2zDa/rKRV6vHYsHq+uOU1PRI1aWvFlkL80R81Bwn7
0R4sTxzKoRqWF1HNne34ztauw0nU8AWRFkuSu0wkEtML5F7DiEyOm/8Mrfjn52YHIYmJ3cBT7c+B
hlixFcEUv4jz6Xmt7wiF9BvxG0bCrzef54fwOrLBPQxjn6PYqsXI62ngGnLiqbGOFhbs39z+637y
8+/LQuJRQeGKIuwXV7J0RgzXW5LHiTV+QDiLDKZNJRmxczJRTJp+uWq0nkDVNb9Zw1e/869XJpH8
emWqt08PqtrbTgpjI4/tm/RhvUnuxmN+t+zmL7/5hr8+K9dviHmSbd3Vcfj9vIItqhRo814eG/5X
GqxnTESkxEzk0njRtkufvF1PwspvLqr/ty9H6PrVW05t8xni23hOMjRehbF3Vx3ai7Uf90m8HYuL
vVcO2m880X+Gf3y+lR4KFYMAVKgwn6PJFaXkEO4YeTwH9s48KrftpT+YweL/GKM5nqIp2oIlgokZ
9AQTVL/5ssb1Dv56eQxmJGDjcP8Mn3KS0sHJrOdxdrCPHV92OaEbPbjhuJ/2SlTeOA/WA80z2Qac
AQLFDYofxQ/lg87Hxb44B++QhghKTs7ht4kw143wbz7a59fpLFJ13rA2x1jL0GqnrO9hP2o7xk2i
8qfepwJMGp92W/3oFNSsv7s3/+35ghyoMxy3GYBfbXZ/3T+dpl0KI5nzmL7f3oiBu8e4WoJ570bl
RXlVXvPTeJsIWty+eZfcckg4AZYJ53P71N71R3NPh/k3z/yvu8rV9Me2RcAWWd6ffy40CIJOvMxi
kkKa7IZov/6h0Jxi+U0m4K/X4R2oUWyRd8DOon56SbVKlWS6XbJDtnKpwrXSCT9hv8v/ma/8uhWz
ERH+h6FdwyD92YE9D3pXz3PHha76mVq6wcSzEsht+12A4y97CYBQDNh4XeEagF75FD5A6AJzRMEQ
JO2UHZ6lSPeOKIgDEiV/szvqvyyc66Wu2Gr+B+/3nw/dX168mVYPyThIJbJ8/BiX8VZ5Hx+tU39b
Huk43JZ3TdTdbs/M/Jqv6vtvk2R++fE4kOPWxB4H+FKnpvl53QpqU0WfKyUaY3oSh+TIICf0KJ/0
WFzqUAQff79jfr4eIWVoQInow+V9jTj9VPdqdr5t6/U5abD89flV+hz+/RU+/3ZcgTBlw6L5QNA7
MsqfvxFzWJ3x5JrHa0BW0121b/+RiZxVSFgigaaEh6PGxRf56ZalSBE7Z4VlkC4VejxrY2o2zuIf
FmTEvlJj4sClVGJLca+b8V/WhUKrlUExOqBV2dLYQGt/QhQ1/sPvAmKPX55zCK9Ok3PN1bX7l6sU
ijGzOEsCBTpF3BBcmNBNqdrd3/8kn390Xoyqylvr6kxmhX/m0HnVPEzj2taRx6DWJ5qYMC23T37z
w/+3qwBNpsV5jZ8mvfDn7yJImoCvymBmSRwF2frA8x3oI1iM32z2n18216/jUvqTUkAGCj/Tzxca
Z89LE72vo2ZqHV/TuybYgKxAWgW3+vd3jnCaz1eziVzlQaEwvCaeEyT489WccsqHiqxzBiFpdQHY
7OjZLSLBcXVhd9Ywr3wM104dIIxkPVplujHutpRauUqR5qdqS0tsNXWvqjFGsQ1fEB6/Cfutka6B
cGb7j3EVxi0lqoYvpRrVXToN2ruBVzlj8pYiULIN0WIiJv0pXN1MxCR8bnhETGtKfbPjKOtDWkKd
PUrkOxD/DMmkfp2sJ7sH3eMXvavt0xo1J4NsgnfBBUtriWy50sYpRzkgvKFBv52c2lD1sMnILAn1
CsfES8EA1g7q0vCWR8NON83zMy2TY1BgyyugstFlDKy6XiQfpJzugatrKMJQmt5VCPWXnbaZ3u1G
JPaTW6L98gVEpdrPFpOPuEx99a2TaU8fzq36OSiTZHiwyRC/6RJ1ZJTv1KYTTMLRJgb81aDtuJnk
YOR2ldxKiTSLNpDWiLDCMMSYAjScRPsspg8jFYaDP2R2LraQUxNNs4mqgy6bjYSpgLW2FZtaxxZN
KCx129ReGj6UCDzOgV+SDukG9/HqvMWr1+XQTEYxYyDq64G/bWOE0UYrZ/908rkJp2Iuz+22McsS
7twE2TpuHW1YAznbaOoKmtO6awQte3GV5W1pyqBIqgKHnbAbzbe9WXztDEwu+l5bHbLSUrVy/mB8
M4gABA4tBMkMQA2IFm5HyLjFNgf4z4nnKenppezmSnJXbmMyRpmDqpgxqzN5abHrZ9F9K5DRwyXS
CGuJHMVb8QPo5Nz52rYuN97QuteevTcy/EfhkIYSi5ETDWbhKaHXT8tbVmKeZLanVhiY0Ds+Om7R
lgiRZLtEGX07mt+qwiBWNDNKsyJHE45Rt+6fCZ/Or21raWzniekkkYEAhfK9Yy+Jy2SIsXqUNaxA
H0e/iC0Nddxa44HzsWTbpl+ZjUS46jVpx9O0GV8crWleNDLYP3QyL745reqIsB1lbQSj1XKmcth7
EDzlNEVVj9FabxuFFhX87W+1XRd9oJDV8F3mnoMeg6H/H6wtBvFbk5iav7UeOum6HK8TJ31QsQ4s
VuYcxsZ0K1DzhmJhPaggbEqW0xquREBxv2bIep7VLixvT8BxC1CSuc+dzozF78brEKoTpdrsr+LW
keY6u5uvrpgww0wnKEAgP7+qkSZVBiBD++0Gt4y4LSw+qa/OY7XsUmXps8OSclT2G04o34cCNUik
dpXyqBojKv0hy1Ul1FvHQqgCNKnyvS1jGNEhqZuC0QPgusvhdIogadeSMKKVGW5UFK76VuqtrnNf
FudZn/PpTViFQLypmGqkKHU5MXs2ql2jVPLiOlfx3sCtP1u1VRAXY43js0Q8+kDwwqRxH21P+l2t
4rgi6348DQox577D++KHvshuDmZncC4F9gU1NBSPLnaqdMvymC1SIT6AOZ2VHbpMd3NUeXnxR0nZ
q0Y6uMIkZL3x1up0b1pDDYb3VdViMTNsl7RGlJEn8JtX9BBFyHyQsWVSI3Ma9eXRajTlXh+muQ6n
fFQQX7SK9QNPlekdcBBm/dXkjvoxTYd8DCfKjiaq0OwsIQPpgXTEvsZYwxtOu+gDJmIsWl4z+Usz
zEjVjA7dcTYuzDVBaTYWqo6ela4kOCLjtO27LXJbGvI7OmZMxAGsJVYwYJwkrjVLKD3NDK31wcmS
ZDekotTCUc8rbBOZl3/tiewvI89UtvqSoux+rHiiiFqaOzyI7tzLOSgmRKkA4hBKBu4kNHalbVhS
kqfa4VsqpWlFC6554yRXBH4YvxjGBRg53R/zlXCHGnboZVgUnV0EeMAJP7KMrk9jTDXbF28QnhYo
qwcT0ymFOFe90LVA1m7Fld2KkTIkrWS+wXWal1G3aCIjncDVpsBk8K6EkkjNBOW+lw98dd18RWGs
WwGWr/yPrlDAvPOkY2lHYZ8S6tFMCIdxH7G1z5hnkSumLjqvdVKHH2LtFty3eK8V31qJN6iyAkHG
nJg8kUReYwIqqG4/JDI0O+AsM/VBZs7o6HAvM2TSMWT1WBElKNXSbKyrjwhJls9wViGfZMA4FdB9
xoU61F77ZjvFaOCv1JYJOeBVDwahifCDqdKdExvKxMIQ9Wjy791S68qUt4Q3vaXSWNoIJxMqmAzN
nAyZCOExH9o+f23Hko0nQZvzkYAXaHit1UI7ZovtbgEqDdXZa46tFwGHAvO+pSH1tHnTVYDLAfCj
8Bp5Iim5LH2lYEWhMDUUnTdBPd8yoUamKQh5+dhEuYndzOG0C4pk9aYQYWSS+Ust8yfEHh0W5x5r
bugaw1z6xpya32qrcX6s+HMXLp1JxpUiXQykHj0FhJPhDwVrzb+epdW+e85GFINQr2XJoK0qefCM
fdi9bLGytOpB06Kq5dHF3U5ECiGK9qS8oTzYSG4ctNKIMzQHX5XWkR1z0xofICuueB3Nnp0XKiA1
h7n0xddpadl/um6jsuKbiB+TLQQ3Y0ajtx8rs12CDnEsckvVUv+wJ30A9jObePoGmqDk0qvb+NbX
EHJDRRlq7A2mLl8qfcMxXWPlNhmOav1jwYtWi2y1mB6TRXrksJsmXkl7Y59zaIR8M/Pk+nA4A+As
ZuT5+lGoCzLaQVEFtkiPpC5xwau+uCiryKuMJX2abz0+gi34H/bOZDluJduyv1I/gDQ07miGFYhg
T7GXSE1gEkWi7xwOwIGvfwtx36uSeK9JdsdVk5xkpsBA4+7nnLX39vikzkdVoKRkYZVfGPLmI+ov
nV33ul6iOFDRer8EaVMBbTn+j0ZnSECwOFGxLLVqYl3I5L6tDEhDkczBI7TgAsXthflJ7pTYwYgh
b9yzNVG4vCBGptd71UfZ+HXquSF3zWgH7ysdgewweD6z8mrW9XiKsYrjAEjPHnYBrBXeoZ09XC3x
2WH3VrZE15BJRtw2bYWnCOHLeupZqXwuR005bLdDlp20yodUH2HxyNBJSfPaiSEwtxWalG3iLvpX
wp1Wve8s01V7aTz3HWAURY1RgI8Hf04kTqlFMV2Njiwi1Ao1/de5kixxPQnAlyh2w0te9infO34B
HDmt6KBOZqx2ooOsvOI9CTvlgyM2yaHNkWBDM3MYsqeEQ8ziLPVn3wtH5zZfCqtMzzBKUf277nNr
eaKL7S1FzMHIvhgj5GzM4ftwOMm9Tpb3q6eneb9y+J9PLddfx7O+NRhLUOd0PnAr6NX11Nhh9wnt
RlIiBRgROQyZdufT0p8nb4dmdn7OiFwRBwgyxge6VZA2vQo9WKqSLzAGOLE5L8zIC+MyL4P8LrQU
Z8fNmWCTcjoLWqs6ARVxvTR7pZUbvkGpsTOlps2cU6uvS/FZB02Cg1Ig7BfBn5tCQzWrfe311HsX
tO9zMcRLlFZEGriDyxuwybPMVZ6UJiJpmU37aqWxxMG8KuopOqA3s4S/LxxZOnDeGK9Eh9LPl++T
awBLVz2uX7VKxaYE9brTkkIHsCsve+uaGbEM8XOYExWzgEsn3bUOuz3il1AjZC5za8xPCeFM86sO
Y4b53BpYRiBu8I98YIe1aF5Va5WeQnvW6Q0ekt58ZomVNZuTPkYKapQ+7ITJp/kiyDYCvEyBLC7E
wBz+NECMxxIkkqhibU2iRx2ir3vGP2d5trZQjdNkboL1wjSW/RotRY7xaWHP85mfAHDGQyXVBBmH
pkCeFmtq5+c9oxtycok2bg+DNotzR9drCj7hTdtjXwGhbGJbK2HB30xptQcndcR9gb1+izoqqQN8
+2oxvLlp2cANKk47F02CFOyicFYn38Oqj+JGlKZ2T/uCoOiHXgbqk5GVCe8spxsBtAZLluDNJTZT
5yHnRP8lt3k2+3XGhmuXcCTV14M9shD33ujZezWbERUhaG2JBGDW7oHuAJmapd/0/knlNiK9VWTk
obbhxZ4PFcZP4S4awcdRszTAkcXqWgR/jy3qBx8VLV+UN7Rglr6jBu6sKROqv66B2C6WZTpobhVo
jD160c4tm44M+FDABslQ5+GFrXAlif3aajEVgLF+wA96vUe6H96aEdOR0xr88FXWwTpeyImGyF1b
ePOXPgVFOGWRiHBFilRb7Zah1s71aLeTfegDs7IRSp3OL+68iPSsnNx2PjT12Ke7FPLZuddl3nyt
WzcH9IEofndyVNsXYqVs+gSrCl0e8HyxPcP+Ct25UqlzMwGyredTrdCy8H0PZcA+Kw0KRoRW3Cyt
ZYNTQjOG7X7mpIatlZNW706VW+1F3yUYR20hxN182a5WbqEfF6ihM3ti900XeiSffE9pqAdr4O3T
bZamB2cOM3mDC52TXgJowGpXcGRhLEYUEyG9c4x8dr2NjHvaEec0Jheei1YBHsxmx6y6ZPouEp+z
Se6FnxNryb09gvzpyR5kMD1YRduACC6z9dYlFNIna9QPr64VWpTizbJeVGFuladeOq4PbTd1fUz+
WfqmbQEAKqy68n7UQzsln9Vc1M9Ln2U5kZR5dx3lq5tiNVbS1C8hecZY0FX4ES7aFOe13eTv7rD2
VtxknWyf3RYTsb0M06C5bGtlvUC1FNG56VtSQ+Xa1RMlSj76l81oQNulM5ZPosGhKy5R4qpbGkLZ
UyWrtL1wyqAqz5taFxaw0RR+6Zu1/zJ1eGPiVFTgjqOl3SN1DgVY/wR0hxDbFgbMZ5o5j/pIdQCc
WbLqGz35bL2u6mYnhi6nuFiMa66qmvWElK8K56uKTYffNpRTwNm/dZ6yjczEyiUv0aSkHAEyDOD0
tcDbq0HloZv81o5U417AjOvharKoURCE+H2UXnWWaL9j1ofbiqs7sOcaZeyAbKCDbdFusDYnLQYi
dzVlBMxo0C7eicD4U8b0xOsinoCArUPfz2FPJ2ha2GjaXrjXJd6azmWeUsO+cmwrozMEVmEaq6mb
9BWK9+Z2rBBUxlh4+BR4qz+KcjcuqnkdVEoSk++SKVloE/acSVznnXYMwlN2RI3dNegvzvfwAPZ+
HcmzP3jsvpqVAPP6XafxnIvr3jPZdduPaKozL+mtM81JNMMkkGMMKY/zVOzDILFx46UgvV3cVq1X
BO/ZSu4mC2uylwCt8eOC1UJxNqUWNdfCp4pabJH2cBGkmoxNktQIzarcxUeATLmAAKhL+QaNi5Xd
PiBRq0UZIaOvgw43UNjiuLEzaD0+E0azvvjIJJ/nqcJlBtN4B7jcXvjArLSw5rMCrXMeg72u1e2C
WpkvwBvGPdCRaOlFZD5IVVmkUcxNR8aYWD5UJJbdk32eUlx5O6P78LWNUH3u0r5Or90c5dhuSBpn
gRR0dXG24Gd4mygr+JqsWXKPHD9JLgV4ndknzFZO18xCpCRA59S+9Mow3FHiDM2poqS/IMfV6IuB
+ODbfOrxmpJTs15kadRZ+8xHCIdXgKGK7rjXYldXA10+A7X5iKgQalOAIkIT+sPwNW0G+SCmYH1I
6nLlDyeFaIjdaHAM9eA8fetEZ1D/AqLvkZzY026q8+Hc6StRxSug1XxwkhbrwMCyX7yEZ3cYXInk
oZsMO/IUWPxD+TJp/wSTx3m6ClU1zDsDP6x2brg4t17Q9ECXRc82OSx99zD3bXin0qy+MQ2t/Z3S
dvkcLZ5teL9N09NRzgbQuCwJbjuvQLFlPOxxVB+guWkza/mBWy7a7Ib4r+tytCkCArnS6Qsa3/+U
V4mWp5NfZ3iZFCP0+1ADXMSRr9TtLCc2d9MDnw2YPr7naU2JFWZeah1aqGR3D/S4yWBLezMEDhlw
nCcK59WDzHRD2Z/RN6BKSmnYDN3m+kx5FYE7Lj1Of/zjrCxDI4I8pgclruQ44AyEQQwYuq2WTm2Z
WhixYDiWUV70aRGCpTYVxhZ+lMFnZPNXp/acLO6bNj0Ta+tnMeYn4qFN/ABxChQQsjLBww39uX8P
UotFj0DyhhwkN6EX4WqdvhWTGF6R+SPoqMcsf/e9dqF5TUjbk+4i89Jndn0T9ZXpTvD70DfGbTB3
Yn8a3hrlWS/TOPflvmxxqaeH7Uui6EPnSXabKQo8N0yncse1Y6e2RpYHf5b2DugzWy59kkmfNY1Y
G6K2si/yMukhHauEctxNkvC1nwXa4jzP10sfHrbcoSSPLioPBTuK3e0IpZt1EQc2bE4fqzdGzzTw
aOiG0VB99Qf0KJS0jYPth69ClKcl6GZcpap9HRZCy2IOY5iEQWz2C3o9OmC7wPd7h2e5TN0O9r/5
Xs1tdE4Y+lTEfshyHXuVqZIDrqXN3ZLbNdmGuuXsrCjA8/2UzhyqOe4cdYesqxdRO9UPbkBbYyx8
NvzezoJHrNvmx3F0wWhVWsjDyGGT8KOVyGpqZtzH6S9X048sC0E/+mDmNNim37LcpUXIqa94cOrE
PVReLy58laYnPRr3EY0wgyNstaIE54zEn78EHOkQxyJcvKnDMHrRNCbeu2QezlzX8sA/U43LgGvj
87CVnAc3O0l9H/GHF3XzDVC0eFyzqbqh/ZZcabk0EvlsNX11Ba2kk4Bd8mJFcvRD2nmFwjQXXntJ
kiWLzNoW66MKtX2ZNqFzbc12p2PLqtYfVhbyEdG5HZ7T1Ywv7TiH9Mwgnb9FJfFP1JgBQ5JcyOKK
Kr+CsqLxnO7QVs+gC9E6fMM4U/DREhz1jnDZ5l8rRvNkEB4BzDDxItJ5taPvQk98eHx3qosNS+S6
X7uh/SqsvFpjZ068CQ1lljksgHPw4I3Utuxq3XhdW9mK9KTiMLGzJ7wJOVyHGIqNuu3PKzM0nK0n
Vf8I7T74jM9rBCUwLfVjbg/NE47PDspwYephj7FfgKUnXkt4WyfE4+4bobFzLMo8AXhWA5kZXe61
u6xqoq8w3dhzWGFCm8NDmHWP9W33PeX81O1og2zdCwzt31ZPmadgidSznE3DlymyN9qXLHEJ09d2
P0VCXRX22rzWjHWbHcooFJfYknjnhTMVPfqFJn8qsmG0Y7t1g3uRFpTH+ZrgwIRdHF9jaoeVc4LT
HOpE5c+bUVeIrOTQ9Y7k8JtzRoixmhE/ltTVpAl1Uf1jpQvCtzoHCHDKrkjZzcOsKWKlMo9PKSmH
10D4xuXvm9rroCKhe+fS3QekL9cUMxqXqKIT5JhgOxaWlupQiKjhhFOyl1s+dlWH1XcnwksdTkWl
dpCKaFVHdwEV+tNqd/DXfETJd/wH8foPOQgjgKB1RdmGTzdi4Ua+CHc7lLGdjf5GSM9yNzN+HVwM
LjFA+dwaK9RxSNWGH2Qr8Dbsx+2b9QQtvoPjjMl6mJHW13szzjlRI7QX+M0Jcfb7iptIiBkObMuW
0eYi8a0TlNAGqyGCAycc8hCw2sl4ptfEHeJQUI5cs/rjCvb76aT7cTa58Z2E7NEBl5GPY+XHUThD
L+mQdHfogvBgytOikOdrfyOc4mIQTz6Jn7DiJ4z7D1gsY8eA+aAccBC8pE/3yXHRdopPHt1AxtM4
SYwncjrHbHenhDmvw+vV+lM84D+NiCMG657j0E0gGeHXWepUVXRALAbRmSv7J4sJ2KcKkcwfhrZ/
v4pnM/AWDpYbAZzWhwSQPtSTE434260op5+BSQKkZpZ18vub/5FzCGiYkbbLzfcldtofsZtiCISL
ZKU4SF2tj/aspmu6E8F5yAHzEJZy/peYz/F6VNrkjfDbPPlxDq3p23DOKg4drgf7Zik4ugLE/eGV
+sdfBW/J/xMkBtz61yc0Mu+FABIIiLUNUuZasPqSY6ugS3PWwcPuf38Xtzf0Z3CMOb7j8KPAunkx
iKf89XroDCsZlB5K921dM0J8smefAzyFA0W3ddNkVfqHn/jxo+GSZCrw60iH8YWwP/zEInfRJjPX
27dtnpy1Vk1/Ww9y79nNn7Ic/34p3sNjhgrAjS/8D0gETvyL75tR7i2cE2LRd4z9U3pdZqr+9OA+
vvQkCePsBKriuoTe8o78eiNZvPxF83P3VpLRjMsUhuKqdyiSfv/A/uk6Avqe15EPgADJX69TLV6b
Rgnh5eXseWcSmXLcInL8Axfz99fCIySI7BRWb3ii4MMn3C0Dc3E4oz2DB++eZT3g8Ga59UmZZeXX
Ed9e+uqjsf/wavz9x22B5pBLoeugD3A+vI1FFTr42dKjavy2O6FH45z3sstO/u0tBKGDJg/ANCBJ
P8b45AVbTYB/zT7DLvpC5gIwclb/dr04Am3bEkgwBeNV7wNaJE2ZuVVUiP0Es0M9j8KmKnDF/f1v
+bhecBXoQ9TaqD1QZrjer69DrimdRt15e+KCDAOTxDlBGYBljZfKfW3n/e3vr/cPTwihg0C3QXyI
G3wEfuXcy5nOJw5IlTOeKCua7oNNlPb7q/z99UN8stGAEbgZO+yH92BtgcHpcHr0cn33Jic05nSU
/fCYYJR2u5ZMoLIw5HD4+6v+fbXYyFVOtAEINQv8h3sZjSuh4FXmsRY66y5K6c5iyYoLxdQtf13q
/wuYfgroIA3qp/u/JYb8Eulx+6bGn/M8jv/z/5Evhf/xpUPQLzsTj4On8rN8yXOBeQnmCFmZAMb+
j3zJsv9jC0TryIV5Z4DE/e1QgFnoMdHDCf8DFGnDAkcbeckC828ETL9+BwDg0g5YzSk5Av5RDGV/
/e4ymaRWqgjj6G0abF0r11PfKZPrn+7I7V/78M8Co+1M8X935/++SrQJr1gX+Rw+fAd0RN2WuXZ6
ICju3qIr0UX5t8wE16LNIlyAp1vE6O+/v+av395f14SXkwHCG5C3j/ltcL9NozBN2WPCLQ+2lVj3
aTgmV3JYvxmGQdemgVb5/TV//fL+umboeTxtTqYOQpBf7+asy3RpB2CFzsq/OFGmGZoxSUULUP1h
7f+nO4oOhFQ11Bi8RNt6+hPwicQmD9IQb3bM0ObPbQOzgwy1wuhvcvAXTZwzD+LnBAbqT4luf/uN
XA/u1yWJj3A8jpC/XhlfKVq0wu0x5GKChIZaOw91K6WNfYyb/SkZ7G/vJ9+ORKbnkAVOTsjHQ5Zk
FpcOjlAHsvNk3OXDdFI7QfaHY8I/XoUrBXboYNv6ETnVOGBVVeGrA4Or5JoA0GxvZbgC/P7t+HgV
KdlpBHw2dpaoFj/mSaHz92gwJQokqFluIyZ+J5zE/qRl+fh8tquEfGucE4FQ0Tv9+nw6JxNDU+Ff
NMK57dramR9a2MsLSvHkD5v2P/yggMs4FC1bEfMxpR23Lg2f2pDPvkR+HGEotpvrKfjDdvYPVwHQ
jVwe8Cbz/JiApxZTjWGOyxNzFcxebIBPpMHpv384iElt1+aoA23+sQyr1NCWbkc00GyBpLBve5CV
RLr8u1eAhWHbmln2WdgdyMFfH84iC6SOqjBMXaLirEg645wm2sIm+PfX2T7/nxdcCiGED9visJFX
gM6/XoeHoKYxwjAssAdz2Ci6M5cZ7ksqQkwiQ+YdfzhPHQnzX64IRS+3agjtDPK38ONGUrfNOE2h
fciHghlHz3hnZAaPY4hdXAi/+5YKxPurzpzDksnh0hVVfoW30PKHX+7Y3vaG//yngNzzvrA7gnbb
gkL31x8/iGCdgqlGUpty4I9JI0M4ZE1rQGQLbhVduZedE2GLlxf4k8+liurPSVel4R2JD3heWtWc
vi22GKoLt+rNcN0bvDeepctad9uyl9YXtFQz5g1erVjex3mmI1/A2dxbpizyvUsLLI3rFiXmWbV5
zYAqzdMJnhTqiokz6K/xNovJyO3KRwoYUZ9l/hC4p3mqRywDlzzM9qQNuPoA9uUHextn9uHQT/nm
eTvPy48hwUQKR/hkhYNz+sEgFfbr/NJOe1Hek2MzLJdDmZpLGNw5wgZA11OcNhnDoOzoyeP8ZdDj
eqUOrwKxlHKfphYu1jmz5l0VNczuBmm3T3SBc4y27QEHwkYmI022Ir8smkUV+zIty8c5h+KFnUuX
q0R7doefAYl/u3DcPllMqwLM8CaGHPE6OgBNssqY7rSVrt2dNj4MJQRf8GUIMAzYuy7BTgfLNwgZ
Wyfzwp0Ug7wtReW3lB6WuBTsdBgwryOZXLbU4qS1BkxLm9TDiKCO+rQhu8OVeGAIq5X7xnExTnUH
E9zbeKXr3WC2f8U+OiVZ/O53a1VRtidCh04qlMXwWmiMiNAAZCOuzLZJv+JTHeEj1HlfrWwOsIAp
FhqMRpS0C4ujK5Nduvg2bMbquDV13fwCfWneV9GwM48ifR57fJ1y8skSTChpI4POpuMQ42LiP4P/
hnQNkwjrtQ7m6cpXUUTPgpn6Ddm03WuJU2Z2BtBnryfaVwtJF50f9Ae3KIaLVGGQudOBz8uYtLzW
O3zBhhNvaXMZT67E/AH3j0+q99XnAeAXb8TJT6ddQ4SqHZsiiU7pM/poLP9ysmKnkMT/TcgUJp3V
p1ZZkNaW5t2zVS/+F1q6m/lVOCGfbe8iOxnWa/wDCQQ96MBtTmlsMqHKMze655G5Ys/IzsoPJcei
GYsbE3328fGYwaOGCefX2bjFZQg9VZ2qwGdcXaqSPmuuQ6QYLs4ZeCGNQxPGcyoDyJZEbAbfIrd2
AsO/9Yopa+FcbyNqnbyU4YqdWWpmYiex9v2xulX32Gm4a2ZxmhI/jGZDXIboJ0KjRmkdms4J7nCy
WQvA3CCHwpzm5iGb2y0cJ0m6m7Z1NYdi7TBkcbOU3rTjZNNjwFwGp92wiB6ZqFUSn8ax/JSpWhD3
WQuvP6kqLDGu0eSIF2udgAgcbRz7MrIyU8SW8l3vgCtKQU+csQPNiSaT13DuzluQd2u4H0WAoJcO
TYUtdbAsEAxKW+DrbeXHuE5h2HfdF45jxWG+jjh0YkYyn7jtNvuBF4xgShr0ATqzMkZLufQug5L1
CngsiOjmZxaccYGTlgR5aKD4x8bS77MwsNILi0xxsBtJzkMG8nE1TQq3JEILaTe5M3E42AypFAOV
sJ8xG1O2uJYE3nxv2cqWXaNDqs1FGvk2iqn+7CkxpKdqdMXLQlgCbih2/nl1tPdSraYPTpOUxjNo
Lv3IPebD5oF8CeIJ4HmrcxvnJ5SfS8HZws7bqjnIJbUY4geBeCGkZ/k+L317H2b4idB0S3S/IzWC
Bk+arTKP+2GqxMFr3eSR3kPuXrUoFmAWshInM+6w/dpCehGqAy/BhsVXMWPVJ2VNdsngv1OgVTJu
1NRXxGEseJXWMg36c9oU3tmEKoLlokYAj3k/PigB9mQmXjrRvik85y/XkhYQlp3RFgcQrM+1gpBj
iuN23a60yFiIxzQHMCjEwtcYeLDj52E3iVPe5UDEGCmZb6s9YyRdudtgWC7jNFxCZC33YVOG71HT
d4KlmFMAnuj5au2p+LvvkjXgh1WUTKWZQPh3LqqBNJ7FZutJ1x5DHaAVdaDzhzNf3k7ZbeQcQ1BM
sCoy11rISYDD7DtW4Ram3mEe4aynRmAlq4gcdWgTp3zA2Ap1cFK4FpyNqtItWaDFfbRzRHlTTm4u
T7Xnt7heZ9VYHZIMUBKLPo/Ed5G2J4EO8oQ8tLx3b22kr3ee7Gb693b9qs3U3RabPecu6BYg0HVR
6tsM5IUX2lhYj7NZl2eDbkjHfcKQeAfy6/0gpS5Yzis8ihvA1rqbNvxzkSeL6LDew1+4GUla0ayX
iKoYywU6K26nqintmP6Mc2evHSkBzMit/gQpn0ZA1BbdfWuynpG3nUkRJ42p3jHBZXJXDa2AyA6t
5WoYAfhOXIq+O1dPZcUQOiKSPJv9RZ754PhkNRj8RI1yasxeLZ2TOdmQPcLQGc+DDPrjXQyADfsR
Qk5diYYpLSaPVUQI6yq9iHaYjded3zI6vRyoXO7Divkq6gR8fBxjQWoF2dLcONhHY/WGQdxd5ME1
xnhUe/51X3kBk+HVLpLYaGzTazg4zXPJkjvDFsf4SY/2tcIYROz6MhmeWHPwmmVjjz4VM0ev2A4m
/623YVGrTg1vvrdGmJJilb2cEig8PkxjhRQtQ7+FbhxLeqySFU5/AHaz9VWJesUgm6CXeBHjcJ94
OYRib0p5WI1iZwmz6pycYvapxndAq2pWuq+Lv2DL5huh4YcTLb74CEteVxtr17EShLZ0pet+bpeG
/I1V5dYNfpD+QHq4l70JjvBMOFP7u/BKEpVq/m3GcczNSctIhP3dGYRzi3ymf+NsJ9BApVI/WQkR
brsxsYdrN+1wOdVhmKz7ftIryhs8Y4lGT6xHC0DeOY/cubsaVbBW8Thn0/e1DmccOAHm2Wm8pTxP
ek3YlQk0Bz9yfYqd1uSScSZ2xvMmnQjrtt2kvKfAXFcEc514sCrjqzhJ1pZxocKwHf7CwkqfgGnZ
7LtuqpHheG4PdTZHxPmpDEIzH+hvgCIUvK9BEiKR3TRZMacsUjJRy5WPcLf8kSWOlt9rF9XWjpGy
c4vkYwXgXT3EEpmaVwGoU8A9uN7SwGTNw/Cke8Z2SlQLGZVWT061AMXvH8fjHBIilZmkdZxP8qiY
VYrj3JKBLTPMZLKqjINs1xh8PCIM+HUWZjYZHENe73HEiNaDOE5H1XFSKhu4RQKptwlqd5ymYthn
Pqde0KG42flJjxqBxBl4xTaamcWu21hWAwrcaGRWhJ5gAD3uluMMl7tvfbePk13LgKOM27i3Ok5+
zXEKjF/odBvUuPod5HFOPDVle6IW2KYDwD2TZNR7WXuCfyUTZu84baZuYvI8b0Po8DiP9kJHvfbH
KbWPlL3goLyg+yiOk2xLRUy1w23ATYzhSIjLNvZujxPw/jgNJ6OPyfhwnJL7x4m5MG7pnIjjJH1Z
h22qfpywl30f3HOeY+6ebCN4yPC8ByQavHNxnNG7qaFH3qxl86qGSV2RG8A8H8EX6RTSb7M3fxv4
T60anu0NAuCu1W993vVEexbJCh+2AQPrkKl7hjFQBMmRKMg3uKBtadpBVG3MATFv0SeqH0iEyMeE
YD8fCYXwSCu4R3IhIWTL2Rcb0AD5WD/awRZ+F23AQ4LG54dJAGOxlEj78+jIRpTIzSrSkRafZbOa
+R05a9O1e6QqRFYGD92RteisHu5CHhkMDyvTr44SM0LY0RBFIdSmZBucKvpeHTmOqJpcaocN7+D7
gvQorMa8g6Bw9C03FMQ/UiEe1RtL7JEWAYAsrrwjQwLHDk+ybGhJd6RM5rUYX1ZEzs9ER0GhrKu7
/EjNxqZkG6bSQHJd4mm4PCLJgGJhpOC2l1pbRYCqOA1/hBvy4h3pl0W441d0ZjAx7obHWENZ3aSL
9B7FBs9kR44GX4f+NjtSNmQSQNxo6tCzTMj6PUK8N8TWNLSYlqnWfCGpC24nb1Yx79SR5+mmwXsd
eROoRo7oD04X6Tdy2qwba8ODVMYhYKfHhgPtdCSIhg0mQs8JV0QE1fy4NGPwiIkyDEON4OY93GAk
42xc0rCkG6N05JWGI7u0HDmmxamxH2+spbkrhF0nh+BIPZkUp7W43mCopk+a7+WRkAr/oqWO5FRp
b0Je50hUlU0CXZVhuPsqj8yVe+SvCl/bKGzGlHOIHNTyLTnSWlaYRs/ekeEajzyXOrJd7AvQ88mG
fC1zwCECP21AsLCBCfM2PGw+kmJ9RXhcXGwAmeygA/fBhpXJI2FWdKGwd+ySkGcl4AnSuskBN/KP
dBoxms4To2b/Dt996LWCvwkbyQ1qQ4A9vEVQ8xwGiQK4YUeBf2Ohrm+yXi0v6wB0EhxJOZd4gffk
yM9NptGv3gbVjZMph115ZO3CI3cXbQge43loPDxtIfNArtkyN1xvdihrYrVBfO6R5wuDZfpKKGT2
ZbQFvF8KJEag7JEDBDWEGGlDpq0n/pEYTBDfXqFFpWvhc9zeZHkbX8hUHtZQH7nD8MggZrnkjBA1
Pi0LpVvRHXw29wUNRw2kWrUtVqVQM4Hau+T2kquMHdQDfc4C6aZjsT3PxqGI83owKvLOBsmHzMtQ
nqkQX8GTwBB4/7m0kEtijlkTdJfOZaCpMMLgLaDCucML2rxZVlcQ/SMNKSRV6azEwjQpiJNbIa4C
lgJcQb2FK3gsyXP9mvR28A2JcI9Kyx/RnQxuWJBWwcHfi1Pg8OrQehkyxJEKhj8r0FW994o+Xbqr
PBq8a7/ukieBQqrxHrWDhsx9Ahm2cSMcp0ht3vMmzMLHFeG2uqMHwaQNa1hdHAL+2y8BWRPnWQmM
T69S9d8Z0BpnH7n2kF5hAcCGGBJbLeO8wgXCbufO4Dm6KSmnJaS12aE7NRcwcT6Jh74mwhGnZTyv
yZ4pXhH0VVVc1H6IYetakECH9T//GU1EQ8E6GvsaV9X+s2VvCKrbLe1nsvrEQzHUzG61v32otkny
Lwx1VURfsF2uJoa57y7uIT900WyI1VJRA4nQDBjID5T6oOtFhct5IDHYrZy5mMhi6UfMRfxyvtVe
dqstB7dQZIPqlrm+j6J7HKPstGYw/owcV6IFMQH8RQUk0cQp242kjl8ycQCgROYLq18152lQ+f2z
U5BqchWtjdxgI4zjD+BxyIYIeuVJwfpVDa747K8ra4cgm4dk5yGYgS8r3yo8akJiMa7qogG426+I
K8Pzyc4mhZ4/rBNxGo6ZMSQNoA1zd+ilw/cG35ssblsPRXxfZCH2x3OkHk2eje2noiGJZI+EpqKr
aVvpoC8SMjXGR5XNhvR24xngrrWkA7jrIi3GuwZT/eSyM0Gmr0irmoBs0OCP8lNUrbyUO3QRfkLo
LmC09VnpYB3uPI3g/Ws4+H71Ke1mPSUns5t4AZ7tWOnsiV7B/rMLZIfK0TRlGkI7Nlm0KBROzZrf
dSDq9ikJ5UGExy8gLvj/EkXMocgGRxFKoGxn9/WV062TgmH1UWdOe7dHsr+gY8CGGZ3oQEMLAH9c
AlB//CXG9RUwLkrtE0ZNiptlZ/NA0IFA+EIB7ZloM6mwVHYSVYHd7gK7qt4s6G/EbOmAGYEzzpZ8
zdxCrKfL2EKzmZaUFLYEIjhicIWAipsfsGXD5X2+bLYELaXBE2tggebSIh5Vl9h4j9mEE1bHAupw
v0sJRzlPeUCzk2CEHTOItn6rJ8wQBphampSXThNE1aWNDFYT7pjif3FWDNyD1xydvRc39pRjLmFY
W/orE6b9/CinVpJvl7T0/W/HBm6ARplbySRuHSf1nF3YFhZ2SLMlmvyBzWooP+ucdTUugfmzPSLg
vnharMhtTxOvD/vLUkmJj2+Bzmvn+AY1kydIsrs07bIaisgR50EiWxN6/7C6YJWAvS655d5+5AwH
hNv32gnOvNa3vPOS0YqLPUZUu891opJ7Rjyt5x7MgGN9fpriO1ya88UZyOM6IEMxaXiajw4+FkhL
89SjV4zH/pjQQ6ZKCqrYswdtow6c/c1t33Rdpa6w1/ZgmydLojImyzkjzfLgBzVT6L/GpP9vUgON
zpu3Rv+MABwtAH8a2PyNGXjYZvn/63/XNINev/3D//O/8QFP/CcQ2DlFDmZFGPyIX/GBjS8C18Lh
wPUEU7OmVRsh4Lj/2exsooiZ2WZrudn0/A88IOV/sNyCIOOgwuSE8eC/gQc++IbCDTCAZmpGs4zx
7DaG/nXSQn8aSKwo/f9i7rx240iyNPwqg72PRnoD7O5F2aQX5ZrqmwQpUWkjvYt8+v2SVdMt1Yis
nQYWWOhCoESy0kScOOY3AWSKbIa529YJf9UCC/QPY1Ehob6WAs5Udvw3uH2kC/s4QQcSBRitRJ4a
M4CixU6tnIDQ0IvEDc5diyXoN8gDxHbdbWYX5P8Iw5uNkG/TocE+5szoXj/BC0A4WqAWOvfhkhXz
5+d7yVQnM4Bu6aWiDRzS1JlsLgCLZS6xiDK3pS+rnMa405APSL83fhFCYWY2PbzXCs7DdjvnMARo
FRmD51zO42jXT1Brtc67iPHpxWl6DqPpk+/JFC/LH5bPLwAWxsnAjzdqLLqMtmm63iITdDJ+q/O4
oopV+SV5EI6B6xkOixXgu+bYHOBx2rlICVrejLjPiIGsYd04aRfzrjrXLdLvtt9yzVbWYKBnQDDk
ux177o07WCj8RwMnIURDuijT70aFDvKNXvK9d30Bhd0Ci+g7haA08dAKWEGGBU1lqH6xP8piExA7
DDYNDpxe8FQ/vX3nL1i6H6Z93DmqV7w05M9A0vAUfn5vqaGGGtfQ+BL5mNh58OOZGewG9L5RP9Fd
Fc5lUsC6CWrI0dzvFKPKDp9suS0dFroVHO46TdyB661yGMc7J89CbujtK2X7cSknl2qxK12sem3r
Xy+V2YfCtGLyEY03zfppHOKSpZ4OnVgOiQJVn2LTGnqpecft0qHfj3k0dPxKxHuESnrxwab04Kd6
nb2xoZDrCx056yG0q701lQjUbzqFY1X1zcWELjICmqAeWwhV8tYcLtUEwB0/xCZu2HNjpjK2o4Uv
e+uvNckp2V6iKgLjAtIVBl3unaJTmdJ6hzEKHSnt5ZjVNEk4VPWdPni151PI5lojd4o0B3MSTNLq
Qb0DxArUF15FKzC6k0zD5VcQwEbRBEQMcLN7lH5Iumlm2e7kX6Eo14YYk4R+291VI/7h4foQR3Cx
LqS4Ef2oac3OaYqhhuc6xZ7dXiNpkfiY56LbRrrkQn2un9AQWB4TjUJCTA5DjxvFHXAgImWV31hr
ejGmngWJMSkaXO00qDTcZViAjAZbecKTcwvxWHBLoZ2LztwTBBagbS9mulUXNv59nrzJBnuU49ZX
BAVcniMmStptwaSgGLdJaFaR9eRhvVki+iYdq37SegV+f1u1I6++G7PlC/psA6JJpky6EO+pEIck
3enRUremWL7LJEkWuZ6ItQgPDzpAWo+5I77F9M9VrsfQ7alpcI3ZDT4y68a3ukXFIdkviiU54jIT
E3gEu8a8FR/QnTJTmuS+dFkNkfDtpvk8C/rXPVZgpTMM1xGwFJ6VpYfLgmHC10Xqyu40H8z74R4y
o9Gxsu11JG+M7102zHl63UmvtqANjPh75XeD1ck4hQ0Ru4PHWJplZrWQ+vM2zuVD2MEqlfe+0SKy
fIuBuleVNwM4pgxlKscfNG3f2JGu91slug52mk3Iwh6v8IjO3i5l4Mzah+rUsJZjNM8S+mbCrKr7
nhGYbX9HeqXqi3vYHglv37TkxBawMi3jKzr2cYNMTA/SRF9TrjC7wROBNJURXN7jSY65u7LoWkDq
sbIbyM/LoWaM9rJlrJErZzBYwED06TuDBsgx4LSKur7zEcEp2w2p1QxQGomGOQvXUP8YIj9boH8L
dZuYztwg++NQFVWXRt/adfxAn9rWswu7HNnmz34/oB+zRQgMN9MdeOEpSbBYabVEfsfPsDPqb8zr
9LJ856WZbVnXVeZjz44nhqhkEsy2lvNw7DlpqmpdSKAO/bpCqoasFop9GTbNbc8Upm0+jwTMGmaZ
qUJlXTaOb8KFhD/PaKZalUNN3xS3n4pZGcQKZ7ZF8Y0WDKH8HhagX/urwU/0Nt7WzENN84vV6wPc
ECSNks7F2azmwy87jKtgKSNQpWN584BLq2OKCaUTqQtxA6JXq8YPTG4TfdrVpdnjcTLGZYUeHk37
rGizm6kB5FRsZ7SJ6IJT5PFOUFmJllNLUDJXyE8I4eWfIej2gAoKdBhnjMlSSCFPiTMAftxVdtfo
6gujHBtxDwhaQPFuWLZCGy88bG1n404sDUB1gT+RYku2lduHC3QWn0QRZG2GGMyt0DtnQHmHYq1x
9k5bWcW0ofllD2qHZJtyMInj0JcQHm0IiOZdbUHnT3deSq+Z6R3jqaH9o++8yLBp28l8Nt6Nxixd
LBNCXMqNS7emVLiV8G/c8lIJN5uq91PjuaxeCXefTcqMN4X/mqnJHEjrDxEtaZh3YxREtx8s6ZoW
jc9SpU5YNjnO1ehEBVwREQuu17wkNDNZEH+VUi3/V3ND+JAzgTSW78koN5al7qGEhMKZMfYOnoOH
362ooZf41SD9EG2tMRunZjuA+emqHQUoTdCN1dDdS5k0DS0XXOLoxHfqFQbhWICP7Jd3ne9O1vwd
dAm84wrXtT5r0tsCkDnfKTCr4JrGKidc1kxkemzDkhyKKEwqZGKSvWgyXYUfDW/WDGJKDGNGXicI
JZGQ0AYl3zKG5QYgKLZsNsouRJdu2gz2+LiCN1j1X806rHW14dYYdm7HyujEBx/qKjvnGDTszOb8
KOmhcE091B+n3qWHeDJrGoTv7T+v9/B8gLxxdLOZeo+bR5ujcNnng5Uh8UP3ubXGHa7c9MG2ZR6O
fXzPAYJsAD7vtV+a92KonSK69incbdakotPXLSIGth1taTdMlrkbaCm0VuA4jFXowOdVatTvfXTY
NQOJLFhvyFPht0eIK2aRY5M9zGSIxm6y5dR9l3NYGA6d58RvRuBOfISG+ZrHqBzDed3CSsMzkxkq
qxL2aHw3Oy79q5uhpMHxCV0oQnUZVyfMlXDFThDPrXAsmzsLmNOq9hvjoiiSsVk8itV4lQF1xjeO
rP2ZjR65l0B6RH4Fi9c0L/q5TQ2XCTgDxvj9XGQ8aPMQVxMHM1hI111VcXnHvD89rMfWxyeUs3yu
U7feYY5r8UrIhhxe7mEfADcrWmPrpwA7zDtJ3cs3FpZdLetfCZ2VMbcDvxiV1HAAIJGAXkWEKhJx
00FBka5R75JK0aq79XAf54lOSNRzQQkCLkO70+mOm1TRvWGENCuVJdhupdlOfEvaRhp/1VOxJNRp
4hN+WqaafFwUIsLzFKcF2YemfJfrnnBt4+LqGv9Gn3EZbYqnCpQSvwFxteWv8iVFqLEPWvK2RArU
lKZ4qFuomojS8VNl1S7/V0RNy4ccnyCQg4ib0Z142crtYNElvkFciQWOQBWPQEOMjNU759RYzWeU
F5cIoLl11uCVbbs0RTu8VHRTDFdoy+FMRBrk0pDBc1wvvWGr+0MucsbxZscPlrUZ8wgrCwioy8dh
eOMELjgCBemviJDqWY3lsHygzNLlKR8/Hq9ogx+HhBot9z+BBhG7aixyq/kQFU6EwRsdKQyBITq3
uoMr/ezGhvs5lZLmDlId5LUjkpNWsbxO8qbaGda9iZtgsh98cHHqwkmhkaP75jPRaC5jy4/HaFcC
LrCt3XEtyVn6zHl7lnfb73AHGHCYZbbVVPMHj04sLyrPBqufgNUMQC4Cv2e0waBbQ4XoXR26S3AY
Kj5cAy1jGM6eT6PoRVxJciH2BG75z2fUUBCworQuXapjASOJl5cf1vZx46q8XArd4xpqDosDnZyl
Fj4sYNV7y/JK+qx1s20zC2x9aNbjAosAp4GDLXKsCI1mN31Vwd6nQ+hE+VPFzIhLREJwWfZxmRWc
Ie4hh6Z//VIZHJ6W9hJA2xgVQwpuKZeMqULrhnV+fGZFW49AfItajSMom6a3UB6c0DngWxKFu2r1
/hggDZvxRkR3FygO/HJf5VxD7C/SseAU++X2D3tCRWrGQskxQ+buEOW75VNpxQkuVkCV5SvXqJbg
fFzkpl0uqxuF1ZdLZ13zvt2E8fR004QIYPJ/h7SN3EWbujW+ZrWOHKtFBw8XlcPPHYJGlSfLuVDZ
VsNhgdzIsoubpmTDHFcu6JSZa426ZFnqxzdQ2dzAU0wO0TzJoWXCuY/nBRaxPoaFw5McB325+eOr
gQK+7FgtBxvp71LKWXoixx9rsD7m+XA4oMq/VOmqzWlS5ksA0V5i5HHbE2jQXDyGPPRPWW+RUoA/
Sb5nRgM0sV9ixvE8C1+KnkMR5Qh82smbUDVRzp12qALHIl32CZ0AwXo/xtzj04/9UdTtjtfbdB8M
dL4igLslYYdBq1pSsEj3kiXIHq7Tezk0jy9wftkQ6AksER2EjcmzOcY2BGCXBWs107IVjv8ImGXJ
V7JRM3ibNJyWV3xsKZXDjADOWsl6uVQkx5fTLp/0riHRMOhacEh5jRkhg2S2NqC7wwI5bgwPMVNu
zbFmnwc3V8NS9VZmROnsoJ7HAy4TaBykPC812nEFuQyw0HJRoUV+xQuhC0/JrNHNz9EsLZG+QPVX
o7W/sc1ieQjH+M1ZsbS1dE6drGkX8/hYTufwzQt0+8cmggsQHjk0Ha8KOgz6ac/NshLMwVzT2ytS
CvLcOTK5DUAHy0dHLyfN4WXkLF4eZ8uhSChq9HTZpyGzVPY3agpLoHy7waGbJ5cGDRYuAC1HY2Hx
saV+bsV0ekh9jTbGhe2MFZKrwnCH9+iBKiGJBUZkoXwC0Ak7XOy8spuYOje7qSvhejvCKho0YKsk
vSNZgXV5wqGhM+7evsQXPtOPT4+OJVemmdbiYYNf08kl0i/PMt3UxcXhSVnog/L+EohLPCPNQIzL
3U9onpnOx3KyklEGuS7iHlCPHaKmhTp1rvzZABIoQGbvPUoJ37w1OJzscQPy3aAunkHJ2uirHQJX
fTjbjZfmTRl5ZAJCgvps165HdqkCNG/o2a6gtLfCXx2PfU6+JRWgl8Umz7JiWaOHqJUyK3uJrUtj
8hhkusPaPH513ALJoVTKwR2halFrkagg2r4kQ6STPhuONtVSNWR2uGzUY6B1PO46Xx2vvjnkMWIe
lwCnOdHSVHGSRPAVSyolz6/FuKylwZuX6IvjO1SdtQsUiX88Rm0bLCU/kEco9bLXYPsu8a7QlpOc
1bt81dfMTZ70YpBU9sdN//a7f7Em+vHd4wKB2gSOYLbls2+8hWjyA2eKJ29HeVgVQdzKrgr3do2a
erlrc2upU3wmVQT540l5LHNmjQH207E6ShN0aD+UhwLoWB8ccrUwRxAQANfhlLVwAeImzlz9CasB
liqbiqTL1Gj4Q2o+6bW71mTVvksmcmxLHJYSpKklWB466cdmlwkBdHLuIh43F4XmVRZpa2MOYbgc
Wpr/B4Oc/XN5+yif2/9cfvefXnj//fOXWOMdP3qZmPz0BToBSafu++dGvX9u+7z77//kF0XP5fKd
/9v/PPI2P6Lv+l//8bXsi275bVFSFj/OYFye7OuGdbvmufga/2PfJ4/FT6Ob5ceOcxtb/83RGYpA
+OXkcl+GM+Nz2/3Xf1D+/+YQRjy69DZtFdOGnHKc29i/0XeCLAzO1PV9yDtMKI5zG4OpDdQ0EEw6
wQvSt/7vjG0Me1krf+0E29EBdNoGQiV8iIcOw0nPnMmikdXFiHpNFA7ZBY1NA1QoPqzp2kebzlop
o9GQ8QJzkWOZXI9fzCa2+v3YZeXGC4dwhqyvxmTTzXWpratSA94amVG0tz2lWzumFNhOp10nt509
j0FJ7wrt0kZ5IBYyR4zrqo+cx1jhGYomSxzdNa0osXzyLOgMFLmiZ4xSARs0MWDUGbzM4qIcm/a7
77Xy80C7C+x0WHV2MLuhNdHPlmW9legZantLoRW+Ryd3pmMTxuH0oZ9053JshxZmOUf5F5ZajEVn
6jn3SLGa906UDTKQUAG+ZUBh3mdIXH7x9Yj5dDTE9QOaNS6MkmlIxa1bjFMAMrZuVvifqWeJGCFW
B17pfu1LI35A0tR7T5NJqo0skba5Rj5SmKA1iplhcmtbn2ow7hnKUvBgVyRZ8ptuhI78rEWd430G
EKPjKI5qarxF+9r8OBRysteR64IE0eYFghGCYNEBc0xJj+ieWNAQtuGgEyijCGVOP5OI20mz5y3G
w2SC7uxFfZO1Mdr9HYqUzb6H/gFoBOrIpWV49bdFsjVZa7iXMqRylddgzJmbxSoLG0NtgVqUt7Jf
sDJ62rb9JRS3qVv16LHLS4xtxwiheLA0q046wt6Hvp3dFSDReJ10O6tNLYs0Xs/I83+L8aJurvss
EuEFwKXmAcFs77EwRuubExct0HvXUZ+tVES/59qYcjdeIaG6VAB5UM2CQgzlik5JtK6AqVbrCjba
jeXW1vOi3Crvshp07y5OBNQ7AG5T+qlr4VziO13Y+VrIRU/P6Hm2wI0Tekaxg6VzgsiHySlQ9c57
10X7CZyHo11A44z0DaimKd04sVMh2OPWUfyxYfyCMEaiqxFId8U+Q0ixrx4YcUlrAV5NT0aJDBdS
4xNS5WGimgeJnPmGkhD97Qbwzj1giJKeOsmDBFlcoeiIbPAoLiyOou9NF/oJxGF0Eh8JYB10Jx0w
yJVstYZWjAKKvGEE2KarGSxMuCskasP02YcKbMU8ISeAkgwILD2POzq1SPoClm/rvMLjIcLKYY7K
5EErnPi5LvB4XzMdgzdkwKZDu8mkC8O7MstgsqPivpvR8NmZOWwDpNdZ75vEtRYZ5tKi5V9NhYc+
KG1J+LKoSH2nrwPBARNV4QCJ8owWI+S4eHT1lm7zaJnNB9Q+gOjFZoNUtyVy5DeK3rfqmz6mPt8a
IK/0jYg0vDmG0ugvRwzN8fqSTrTTgXMmwSQKuZ9ScHu07LXh/kWaB+YIhrRN3nm3UoMatyHydR/z
RsYS4JWZfYwi0r7VYEzu75gM+++rLjfeaUo0N6k5o8oZOX254XLifuNaNEk2jZSjs0aovMSaoK2d
P4iQye9YW0yPoa0878Lz+yhfE6lrlO+mBFRNyMjwbvSQ4986FHL9Cr7Q+I6Zng6TFCEoay0ViRxC
fYZlrGdhQ0MZ5OjpG8/I+mmdpIUboJOFiXKsRDtd5mEPSsfD6IJVz4wk3yIMjjrYy+n1f3CE3w3P
Tdc3z/+4eazaf+z64ttjx9H58xH+//NE55B940R/zLP8sfj2j4t2+av9KRfgJ/95qLu/uToOSxzM
lrUc3KSPx0Pd0X8zOe59n9wM3AVF2Z+HuiAX0HT05TwLJAckvUUC4k80hvEbiSg6MWQIaM4yEv53
jvWT/FYYpBxL0qGd1DQQjvJwkFkeZJN9x3wbID1yxevETszd1DXmH1qbCbCn+fSQ0Apfl5TeO9wC
HOBHQOEEFc0eCkyyHdAF/pxBedr88Dx/gU5Y7v+HfOOvK1swFz9k3LFItaH1rCzIzVhC+QVhmU1U
z6nnezfoXodrrfHtbR252kofVP6hM+dPA7OdnQGTdSn3bewfEPHe0Hg3drgW1huzxL7HpX29Jek2
35+50p+z7L+u9CS71sreIVpmWdCHqCWDlaKtwFRtBfEm/qoh2XrlMF3fDnMMy8emMbDp6Mee8Q99
UQD4Ky/769MXTv8Pz8n02hAb7yYLtNrA59qtRoh8kb31ak6XJu5k0JZVjrz7WG0qfRwQtwyTM/CE
ZZX86rNPqqKyoPeP4kMWzAU18apyhuQ+wvHjAok3nAZGX3uPmDLy8SBF/j0Jrb/ud2kk/HC/g0/O
hL9TGlRZL3ej7B3wyUV+U4batzMv9LXbOklxYWpQZc9jFgx6FF/NcAm2U1aUH5E4RJ93DmPYc1hC
+JHCvr6SRSDnodt50Xyb5ePGt8W08Zny3aDM94TWOUTjBCtk5unhmZdu/NzQ+eshLP/+w0NA2xK0
hjOmgZGl0xrYU7pFL7Td5Z7pB+asFZfY1meX8PYk/B4n/ugY6KkxSPK3Za9FbF5Gi6rJgSpmU3yp
jbpxW839dAXcWl1oLULTWe22Kzmp7vbtp7qsx1+tlROMlGzHpKOtVGARMUmkNe16M03psEdP/8Pb
n/AilfKvH4HAzc9PpacplDPjKIN80HJG/Ga9jNxFYOfVdDWQSAEBTsq9aCG6zLDQccSAYTFIkIsa
eId7HF/UNm4WEXSoF2Anhuz3roisIEJzPXBT1cGL1ot1OEf1HulpsZ1o/u/x74rXetvr2wzHnBr4
0FaGobGDAVZcWUNfX0y02jdM5Rb9YH26siIIS21WMoSOOCZwI4c61nsYSjTmmabVr5/2v8hrpIr+
HfCnMihg8MH6TtyNAkSwAoDm7t5+3K9EHirPnx93De/a8NXE43ZTDCtwkdjA/5Trruhvq0j+jv3C
F6uLi82CGgO5bqozL/oFn/WrF30ScSsR9q7VWGWQJbgAADeDzQpVVbeohOIBQK8H195Lc9dB61tl
Fvqhur9v/Y4KsXYmWwvmTocqdeZBLHHhV5dzEoLBSVTlXNo87Eqa1+MMNQjZz0QG9E/cVVlYl4UX
5dsaBB4lBO4AQs+ydd7WUzBYUOvOXMavg4Jzqhg2QLz2paaXQeRHSVAYabTKBkWvLQo/1eZItr0U
RErrSKLH2gMc4Xt7z5vP6e783CH4Z1CiQ/HzekAjyhKUuXkAxBpvOsqzTVTm9RX+BTmJqnNOduW1
tX0SnkPlsbMGLw+GdJL7loE4h71fbzRohm8/yp9xnX/dyUl4BaQDDr8CeZB1fboJDR3LtUz4vEFo
mLX5Yuam9N/f/rDX9pF7Ehn7gtmvrOcIoyJA8ipzsnvAJhDBl6jDZLTdIAYWXwBC/45LR7NxprQ4
s5NeHCR/sXRPbcddKnaAbJ3YJ7BBLtuKdoNWevMXBdjlptIxCbdNivi1AAOzDyswmDzmQaKUYTj2
k9aRka06Hny0McfEv8V0DwBMA+U8SIC47YC8Y4UsE6ZoE0y1J7TL5YOVxMxLe40+CnKKpGp1UU/N
JrHURLUyVuqu7hy/27/9eA/+y7+4R//k+VLK9wXQ1yLwHE19Q0WwQDSDO78Epir8XWvz3FdZ6+Dv
1Dd5fpWjSJxuuh4bphWj6HwR6XUmiEs0dnGKAUjkjCw+cHfOOh88wEZ5A3GFaaL21Ta68LGWod5D
GjLTL5lq+y8xGI4NjOlyZzM2AnDRwPFZ2TZn1WrENwcwPZSMbO+EiftO8/BpWkPP0+u157kD/gOT
cdP2g7o1Q3yVlxm8f5Gr1iO9S3Qxb3OGy5j0FWgCbvC4ivdOYdD4SkyzfyeMim4T0iPuXQSJRfF8
4/QqwWVFX09weuBntob4XVlNRn9MyGkLzKaU16qeoi82adsVTk6Tdzv4hb614VWb6xQzQca7lOH+
qk9HlCh8QAkOJowFeMWpjLq9EZfOR7NPQRepopy/izAVX0fQDVsjFJ4d1Kow72uPbgLEF2FdN6nj
f1Qt6qxb3YKDx4eiQ4YugYSQmZc96tN+OAraTtzeqq0h8Gyxzmrsa8Sc1qZAaaOlcRL0Zn6Za7MA
CzIli2SzA492rRt9+pjSePpoJhKVAbodFzUmp3s7MuiMdY3Nm4flWXnYqlWxop9hjUnQAmgUm4Lm
/MiDHuw9VFn9wdHQf1uNGE5m61F3sjsndX1xGXd2+1w6dv59TCv/CkOACpVpTBO25GDlVvcAgqwh
HXY1+vldiNiH3cPh0JvJ+yi9mbeMzE/+vpBFIVc2s3P0ZxPpPIg5QTyjgWADNJ4BFJz9QZcPo0yg
eag5sfStVYE4XcVGJGTgT7H5kCpnCEwvaz6lRZo+6pnjfJWWQIK/j2C+f6o7zfnq28MsdqjTTsA1
6W5E905iFgACK1FCml6A9XjoGOV7S0r5OTLKIlrPuZFpQVbja7g29U7bhaDWrYt6aI0LmHii34Hl
mWmltg6CAlOZXMNu9tGmFkPWrJIqGcKN44GkAkmt9fdWx75f4QyGI6OXtMaH3hJGtEk6aAsrXRX5
ZqxsB2WeGHdS2DlXMFfxCDTnEExXOHYrr8Eb2UspTlHfwFfDV3Zdr2N/RhjNCKfuQ13ZBZrkFqzc
ndaDf0JVJQbqPPa4y8R+dx/prOs13BoWe95F3+24qLqVhdY5fVMdemtTZpG9cvu5DoSvy93U1lV6
N3a686GLp/6h0UTVoTpUsg5ZOtEGezGSIUczU3xo44Shr3T8J/gJEle4vHE/hH1VfBdm63z1okEH
zKAG+7lWJoxHHfAkHUG8Sz6lojWwXnBd/wlEXAeYtTWL5zKy0k8JJoGwNGm59htYjJO10k0LEHjN
fPSRUV1/26NT9rua+n5niKb/6DTIKWEAEpkXnVeG1Ta0RajD1zZu8QjFwrqiqVkBAvuOuWe1uAba
+E7Y1WWUqwkWo6THCFOtfgTtT181llATAwO60y4bYzPf5KVnfhnafoq3RVRejlLDPbMLGxrNqV5X
gTfl8N8ilU5Bhz2xsQ57fX7K/KbqAtWmat4aOJ9cIwg0QsnHZOv9QoAlanbVF013lbzUqlC7wcZk
vqj7uHNXZuWWn6025cX3vvKu9XrOui0UjJ3lMVFknYfJrY6/2oYXWQd2PU7OarRLPO/8DMkePcf3
BqdbSGtgRpMAW1jYXs3k+892qSXhVuaj9lVG9C6RP01sXH4ARD/VVAQA3iqC5wo/4EiuHRp/N8ov
OyxYHJS7cDKuUjw03JjDEo1FSF+V9UXzO/k45CPRNm8Nc/Higki/crKM9dyCvw+J4cTMdQIkDnOU
OLav/Ql9y/XbR+ArCZN70uQBedPTZW7ITwHy7+zCjC5wbFCrEh2HM+2apeL/xRnrntQCUy9bWcuy
DOhBNsx6lBlEeHIFb9/Aidj8nwnZMi/7sd7F4an0Z1SigkmW+VZHfWVPOmGtehv/aoDy7Qcsmcbd
DAtuRdvBwgDBdC57MKUrv0ziXabb+DDZPWYbVmnTQx7jnTWnyedqcDGwMzpE9vM2CZA/QHIDCMeW
8n++BJve3mpNav3NFN09qRQAXOFQ2s15kMJwuWYmA8A3xQAMT9IBUwSlb6EcLrvNby9q0tB9vnjk
6dVgbN9+kr/uqsFd+flBuqRxgOHrhGF+qt2lgxXeTOAtHkQtZih92EhA+YsC8FPxHuu5cwp7xisZ
tXtSGyhEMoe4t5IgBNPxDV+1zt4lMIp1gPgookARsFeo/4f1aqjl+KlDu+0RH/eafmSvBm3vVBlK
DrPfuqC6ADxuJ30ET6qBmOYfwqH+TOXP+EV37EHBbcyjjyKXEYV9nJf+1okH54sAxXeVj27JGWyZ
IQEE66Yzb/a153pSkxRWlZYE1ziI+8kg64mXRhGEoG0/jYhgTHVoU6caMDtWhRYW32LwHtGZvffa
9j6pVuamLDq0daJgIdt/cdD12DKemDZplVZnxHhfKe1OZRFBXLkNHlwpmZuB9JuQe1kgjxSL5Ntk
qnOqna/ciHcSpyJ3TkSETXWQDMBWI4amDFNIv0eHJPPt9X+iOflnJFn0mX+MJEUxOyI3pzww7Tne
NWNsrXPQx6TgJQqhLsfPerJT9Q5qPBz2HgWKEWLAHhp1+HzmEpY1/4tYeepA4Vai8wc6VOyyrryo
QqX2SPPH7xZCw32NfgcGL3HzCf/MntaGad+ktbTv5zrDM70lplZhLs8UR69sS295Ez/0EYsmSliY
XRYI0maIHhpjQM0GiQPdfq3LctElUMPf60mdYmjohrlZ2kUoMYFMYpoeeaCgS7E10YV4//azfW0F
nYSZTumlO6FnQpMxNSAdZgXJTjYAD9T/PZ3+vxbQyU6vgHANyFGXdBUnA/kBkNUt6P8zkJ3XNtrJ
XvbCkV6A6xRBXdvNGqzHxxIdoqsWkZvVqKLxzDZ4JVx5JyVxMYxeAQEHONNUYa7baYioReImqtR8
LQUaYKNiezs9/rvOEJ7zjDFfWW6nlgrFJCdsyooykKFWf868hBtCeYHKROTW/AByDsESXUsjit4x
QrysycPSRJcSmzRkjER23SG2i8ENNt8QQcrycwliAxEfZ2jEPi2HrCahWwpqoYjFEFmJ+KZdl3tV
yfEdbJLhwZ2wnF2NjNwvDINZxSZ0rThE44V0c69lLbWZK2qsMnCIa+517MYZnFtNZ8NNaYf7JOyz
z4WSTJ2gb5XnfGNeeTLOSejDq5ZpVp6lAVRmxC7wzl6IMfO1mWOJlyZZ+oAXVnRmkS2/9BcByFku
4odd7+iISJVelQSZMT+bZncPTqalfElvczHo+9Yb8z8sjN7PnI2vxdxTwXHNSVVaeoyo8Ky71r2+
v9dKCfRnQTq4RlLt+jb2d7mfPYazKx4AgSCjw2n97m8FBeckyGV6mFfzlGaBhYDYWssdudHx4wVF
gozw3/uIk7QKeofm4d8WB4zi+oswMTQ8zpLyis+az5zyr62Qk9A2QySAlCeioDPxEI/GetgSI7Lr
qtEr7EuHRTbHEl//3v2cBLkCjBmVuxcF1I64R42ac4FRhY8mj+Zu3/6IVyLdqcx07BbTDGIhCyQN
p3f6XImVV5hAunC+RNca28y3P+cFnvur1X4S6/yutif8rHFaDZ3iKq2UuW4d5HR1cCi7Qpjipsdf
97LV+judjf/OdaTcunpZfe4LQ3+EX4kxW6w/F5QYK3xXy5XXaR+jMS0CtJ1EWAUQ9NtVHGW/Q3Fy
YDchV0ORXKxHAWlR9VG2E023h7tHR6qS9hapa0zO+iG7U7r9FRFfRYWLok9qCz8YyghJXTeuETwj
AZqcWN4XvN5tCN1tC48vu8r6tlm3reGgfBT+4XZJvYP+1p1ZaK9t1wVm+GN46HIweWhHUAV4OCBB
tijTleoaZ+3kpQMzkKlB3Bha0Ajo7micii9RW/drU+bamXrvlbV+6jNVDo70Z1OPgla60R+LG+2H
2UCpycBdej2IjLIcqaPh+e0VYixb6BcrxD6Jh26NNW6nMGZHBUe7cZ223JphMQdV2zQX42TE+85p
YVeYLTxF1MFXyURPUMLTQzDMCddM9z+hjOuvkWVBd8Ju0BUaJ0CL0pr/QInLW0aE6cY2cmNDGQ4+
SZXn1OFfe1QnlbE/ICfuJn0UuNPUbk2j0HB2gjM8S/v3LsmS+zmnwfH2g3p1ZZxEUqWiDGYwpsWG
pBa3TNXutbxTT+6ghqtkSAYkJLL2Ks7jGMK8LEGDpe2mTpJzd7vE01+9qZM4m2ZwFYTWcbcLTEwl
QLdkAkL5zP0tIeFXv/4kxtZtg7NCxMgi0pFwXEwCg3JGqtidOYX9aXKv4EQZQM3m9KKxa3cFpcE5
U2Itz/BXn30ScjUdL+uhIo3R7BxIQz8VG20RhB8Lozlzf6+EXPskuaTphJ4ScpMButDGA7yp6QbI
29fWm4thTe/kXL/pRBflzxzZPgm5niqAEzlIJ2VYR8LznNS9Oc7yamy6bmOUobH37FzbjTkoyTmd
kvvC6MU2gRuwqOWljDHo7QOaFWoLG9O8VDY+gUjYnvOWeeVZn7rzATY2O+VxXOdNkd6HBu1gHc1v
Ria2/vnttfTaR5wkdChglP/D3nksSW5k2/Zf7viBBuFQgzsBECq1LJETWFUly6E14AC+/i0kye5k
GrPSusd3QmtjsyoiINz9nLP32mND2voRuK1/QJQ8hQlhvddiFB/Frr1zjNs036/X6V4VoNGslI/o
wRO7Ci4FcYn+3rRJSyDqE8CUhIbAzKj5YC9970e9WWwQwbZrQ/Lskds3hA7o0TMe2T4ko6H84CT1
hg/0r2dHbJ/96nCKPFhOovDpULla8kALtsSa2Zk3RUeyKkwWK4LcPd3zudBA+zQ5mqCWQ1t6K/rj
aoxmYeQ7sCACu/pcQNcCikETYYg6/O7/3Ysk3ixDpGMMiuFQSvkE785X5I4vmbvsQWFgzUnX9vDr
h+idF1a8WY9wj2ODkqzfcAgIWcB4f77WPipl2mlhUhL//evPee++vll7fHJY6qa1U7q343oqppkk
49jXdp0qyg8u2Tsr94ajen1bgTTgg18RJ0wQknbr4IvLoa2W3X/3A94sOIYDDJOnvjp2TuoAICQV
OzbZITywav/dR7zNZ8rberDGAv1SVhEUYZskevbNeo2MV32wvb5zF6w3SwZW19Ejo4EfkfjedZPX
SMxIp7+ZpvKju/DOA/VSmL96uTRw7z6Rh+VRtvHwKY51Ynbn3Dg5eg+JnXjy06/vxzunEuvNQsFX
7+Yxt7IjOst7mBdXMuudwKi1IpoaGNaO8D54rt67aNu/f/WLVqz/q0IcfRQV8wCzStcAoz9IJD35
Ez33hxfo5o89+HUS2XtyI+vN645jnWyCZiJ0J0PHp7Q5PtPnVIO+VJkHpXo08tvIxqS9sEtzYwg6
Q5hnHdbjXeF6H57L37t5b1YDL7FpC1SU0UndEv+n4Oj2oWEbBtjSGu28uWTdCUQ4eM2kG7+VfW08
2WPf1OE0CuvHsGjqzM9twqZzag6kcQVlhCcNGii/vusvT+o/nGHeeoNqLbUp79HsWtAm82zV7xcx
MrvPsMJ3OWj0mXYr0kNEvRvjH+K5HzJHHve+HBX2SNsmKdIFeFNwG1UhKqa9bvt5xC98GGxIphPp
0ju0l2tU4h3ZZRKy5pgn553qL9otHKfusWmQmxLoTAsvpkU6n53Emw4l7vY99tVz7mB7gJrlE+Ej
zatZ7yMDnOmvL8A7O/Km1379MBZNm5kNsddH5v8mAdgbw8jP0N1CMDtOq0liTEPt3nX+Bwu3eIlO
+6dL/mblQ6mZbPCy7IjJknhNMdbeedpCZw3IKCCFfIb7hLOqAMTYxFp5Se71NNK4p7+3s+w0jSgf
kaSQbcYxM2WnJQZmbthRVUacd0eOwBnDN7CttrafSH+nG1VxbUNNFuqpBNlKlkWtxYch9/qTmVIX
QPxw5+eE3B68hezaN3arTdfImqz7AqTKzdg69nPSVgl5RPpU9OHQp87lhgBIYbn3cKIzy4yvyaW3
gVZovrqTjFanSDZOPe41+YMpaVXjiIjNqwq2CtqPMmcGARPnDLdlk0X+OrRbhjtiJXcBnXFIGR/O
OwMEIIRuzy2O4wqida+52lpE/kJuxi7usSaBefLK3x0aORA+bc2N0tnqv3aTnn7zBsAxodZ2PvMI
PE+QJrQ1/qYbI0neenk3OIk6s3HU73vDv27khLVqxbeMXT0ZGwC9jsZkgaCmi5pMCj0o9ATuLcQy
5vH8vvR5LArjAtt9bIM0GOMxQiQDsqytk2+mS8IYynGgbLBPyyLZWZUwvthDa54VSdXuksTr24Ne
VrQqDNO1YOcp1Rmh18Tt0SKyJUph1rihx9aV3JSsBkZYxWMGGtWq5t9rvRmmO5ST7V3mZhOjcs+H
04rIxf/Rxn1hheB/iqMkEromFsmJMaiQkqGh1pKduhp8rXiums7+UixUoUAqcjcO3VVkn7ws1Ynf
MJP8s0oT2w1nhcc7GlflPQ64djJwM7L5no0LrwrBJ2uNWnGZTsacWWOgM00P0SS0JtFP7sgjvZoO
Y0qm8HDfbU19WQyjlhjJJu+xMeP0J3wMMz3gBivzyC37+DgPVWaHfQdXmuAfZBiBUBahK41nx9AL
yMwShyJf1AMVR4WGCUh+tqcisVcUwqWYD7kSAMCtCWIqOfNChHbippfAw1aDSk3ptwpOBTgXB69V
avrJo7QM/gPPqLBH6M2sW6dpXYlcyBdJDE2NBc0/tb1WfU8HUDThPA7+k4LrEHv0vWFuEe/nAYbD
v1b47mEiRwPydCpUmDmAUvCOFf2FKpol39PVar8uUyq/9fqaAvIriFzXxwQgr9Pr/tnEOK2GR+by
1RVj0DMFunYKCTqQt/jgGu/I8Y7JlwfGqdiNXcMNZfUW3/0sGcm16DFm8la4Z5lpzDN0okonG8bV
s2untscv8dhO54wcO5I2vM7OCLyR/r1MeyLb4YiwMtuZ32V3dJrrQ5XB852chZyuJNdK8jLKlV5f
3qaPYxW7z/Vo52zaWTlzSfy+l7t0qGpU0i2Tgv3gN6tk1Y6bS6nmNN9bWtHfSrvSl9Cj72GHK8k8
LFdeN47BgNVBBnWyAgfWR5U/aFjosFr1ZvmIJFoTAQhr77tn1FSaOWyNFavCps/BYWlfr94m4q/z
ySmizB3iA2K5LtlpPhCsfUsz8aoo55wQL1aQFMvkarDUNJOGuwRWHrO7YtF2i6U1BpgWXAO7evWG
vdDj5gHLDHLvSXcvcguW0j7xy+F5mmA1BKvhrvsFHiFjHkMxBBFEyAWrMAsvMDOeBn+Y6JNbg7qc
RO+lAX+fF5pzLI9dDBjpbBxXUn346cgGm6QrnmE4qzEqFRHFPU3Hr77odJaufFi4Qu0E29oS6KOC
sof0Rdi5N53PK3xoCH2rfa3rngcorBvUCZJgBnjcT+1b3voWCWHiA6sCqTMuERBsFdawuLqDpIv/
3banS69sP0ndSbvIIAHufDY1+TvsypQnATFP4BhVei1K1/oRJ8QSRFPWNBhiHdM+EXBiuHvYQBWe
+hXmFMNy271t5j5P97W+dT3nwhWB025I0KQZp5ijzsDcoK/yJfKhHDB7Lw2jDejO6F+ACpjFcSjj
6za13GvwAMZDCkj6bs31pA5as3F4FDNMtYFO8ydGe1WJi4JpGw96o+KbWS9sEQiQn1/d2h/rnd0j
NUJL1V73sTlczunyiGBxk02AcX/Q8lUDLeIk/TOpLDWocIRdNZrvvHwq/IIvV6f5AtorFt0ZHcZy
DQ0e2Whpam2Dz3hEsZpAq+9QpKm7JPPnJ0nS1HLwBou0Oye3uyEs2lQtnD0L8oTY0vUNsSX1I/RO
bIp+UX3HUjg9rIAvrxqgKvhKdUlcR1WpNo1msmyn0OHBgR/fL4R85jV5g7o7E7+apsArDqQYeD8S
3t2vHAw6MyjRGzfI7HrI48sku3XT6+ZVqPuxPyC4cOMTvEyafUx0xwvm2naAkIu06opQHgRrFymZ
EsB+bLO/+39gGp2UU4N3mKqs/Ixeh69GqFjz+b86gb20eF+VA1nMKjkCKT9kHouVkRo/BAjLa5+1
61RKGO79BpacgIh+0K94p/7Ahve3Ix9LJ+iu7QPZj5rbHCHwT+pc5+QW6Y9f/6T39OEvJqBXv0mR
4kGIh+0f3ImuWGWBqK3LhHjM1Oi/D1u6Q08MXtSUfXckJMCJhqKev3/w4e/U7W/RxjoqUUeji3eY
DPUgbUMPlynBzIIZNzSlDgp+grZPDENKCBDJa0Wr9HPVKhy+Iq8iqy80+KjTt19/nXcO2C9mwVeX
Yl7hojSTcg66IsnElJMDGbnqr/w0qQ8IF4sw1tNxLzmkfPCJ7xRdL22qV5/ItjnkjpljlCAb7ZOJ
Twjk6syZgwXrhGp//u+eo5dW6qvPMWq4AKap3AOhENUuKczikrPlFDWAq29/ffHeeVRfPKCvPmKF
XwKuzfUOK7Cpy8F3rouZeOsuXj9S17z3Cdu/f/UJfVZCgGN4dHA87XHILOsmA2CKiGXRP2gsvHc7
3pTi8AAKZmaCAUDamjsF0eG8nmtjjyu0PhijN39Qyr7TwHjBFb36JXFniR6IqnYANviFIvakkXUS
eWXy3Kb1csqdwf1AFfPSrv2HCu6l6/Dqo5yu6HRE+ckxHnFstnUhb2DGTtdMmpxgHXrnaDkj6tQ+
qy7xoFlh3cHTMpNkjiw2j09+4f8sodVFdTrkF1M8G/DulIXHx1KRSWW08yTqBQH8LJIjWA000c7O
LFLnxhrImQFenQcOfWkUa5V7UlrWhcMiyp3GFHLfGgvydd8kbmg10gPRWvll7DrMUMdFXUxaM+8S
Vy9PZZEzHi5ga7CFrrtKZSUhOEYZuSNSCSrRAT1h/xG7/L1J1Mu/f3XRWllkSOgK7QAAsz8ZnDN3
9Uz0NibGPhKxyMBqLBht81w769NBvwNOyIHMS5IPHpA3DPF/9alfVutX3yA3ZWt2cRkfJtWTw+kZ
a3HNlNDqgg43xcE1nNaMcN77BmrDvv82mVMZObMzHjxiPKggltyIVGYT7pHRn/7ga72zXL8NibYS
2Q9CU8mxA910qFL2JLSc5gfthnfeb/PNZHjMDc2fY94+G5dAWBeJT5W9DHuK4I9kDi8b5z+8Di9O
pVfXlZicOrGAIB/hSfgRN3XZN5IGu2+58kfcoc8ldVXhrW3XHVkX8uvooDjO5i20xlyXs8KksIu9
Th5WBRai7P34MpZjuqdZgSdT+sQwFwWU5/pHZ/vp/tdr63sjrxfh66uvndSxrMaCec8ar8NOIdsL
QRGr/R827HVwbzrL+TF7rXVRLMI+AkEed2aqC/Ztz7+xDH++QiLLqwc/914kNklfvW+c//rrvbNs
mtu/f/XtPEmSz+pzUWOvcW99Z0RsQa80NH2gx1xU8UEL+51l80W//epzgEWVuXRMqIb+cuMLEk1y
vx8D17HjgJsIPwRXw3/3k97sBCXcZqMjofWgd/N0saALC6kVibL1dHyHmD3+uHT/B7v4k2x1ev7f
/zEFD8b7tIvHbpTjt+U15OLlT/xFubB+013bdh2XLAXsfxtA70/Khe39JnhBfRgYJn8EeN6/KReW
/huDT9RDPBcORKlX7CqNFBP+DEklf/2l/1HmyN+XLQc2nC+25BLHQL+ykbT+/hbQo5mEUBRSa1np
X/vC7vcjVu6HQZ958V5dmX8YFvz9hPrnZ8HI4jTOzyJQ5e+fteg65IM2t3ZY7/ooj4EsTSawQuJ6
x8OIV+o+zwDE2F2yfvBC/H3p//OT+UwyPQDVeW/LBW+2SAYwU2uXy7YGiFrS7UIx9uuf94+X0uL3
YUHUXfOtpA+u+GDlNR+S2t49NVVAZtZl/tEm8GZ7//O3vPqYN3fMmKhRG5+PUd2UXo0V7QnVdtpD
AwKV0Ky4Hw/17AqwNwXtQZAHnzFR3GLMkh+czt4YZP/6JgIWCzQWtAs8269XUEV4WeIp7qcK9dCK
+rC+1EKowaF9MPgnalm1N0IzgFQYDpF3i6UtLL+T73mGfvX00bTrH+8x5Je/vs2bxY9qNt2sR9Zu
UrKOWtu+0DYj2H92j13ygXD1Aw4kRgjc5bbIv1rMhYDVG2Od3eFbsPckTxdXTdpzsMTk+cF+8fb3
cGA0oNk4Qrc9asi3Z2Bh9bI0B6KmSBzHyZaTaJUMgxv9+gdZL3r2fx8qSHpxLJh6sHhYqIjreUuI
0KHVASDfIq06AuwDQarDipVtXPpAEGxcHcQ0JsmhSS3x3TKVv+IFJY/jaZDwVAmWJg9xOvm6Hs/Y
jBRiZdL8YmTDMS3B23wC7MwMEh/8NXCIXIap1Rhp2PkJPhOqeMMOF9N0+/OuSGcYXDCaCYOvmGvc
jla2ndEXglA43xAHjQi5ML3LcuHKnLK8scOcwuPKS9zb0rcvMnOVGbHAOoGx6OE2zrKcjb2q3ElE
yhuXR1cNtRMC5BEemghtKI7p9s9Dk6e9f0y6ucnukYuR9tCpli6R17a1H2lN5X+K2zGOr0dyFfzD
6EMpgyplT1pgaqmW/SiBPaPPVfTE1pJoY949wlLBldtMPgmP0T55BOTUUeL3c9TJqs8OA+RZwrRL
T/b7lbasGeplRy9Gc2saQ1lC47khHhn3cO8RLZHEFkHdGHwocNLhBMy0HMFbEf1AXjQgyhyrzbOo
58a4pqmGeAeww2CieyPcg2+zhbDAWdYuccd67YEiEUuQcgrv2dezmdaT68/euUQi7ke+u/TxXgOB
re/yeSi+WZllj7uOTLhlX6UzqLEcUMMaIDepdqXqifZp4BnfmJ1JkorjLN5NS+vtZlCWe0sCu/Pd
5h2pw6IYijvUwLBFFE5TG3ah1aRhDIVjiixt6X8mM6igiKQ3Ugw7wnpKzOaJeiCdA6sQsRArvdnE
9RjUGi1Tuakxix/sn0TeKmNqv6aiGsqwJ9/xoZSaB+8C+tQPLZbplRSlRgaHWYC7SHClurvGlVCO
h0EWX4VfYV8crZl5lELh+TN3uuUSJlD8Q8qmv0nKlZmASmdJFoI7TtdqaarPS6GzwMpGymt85Ziw
oYl6t73vGGtgVTiqkb1o0/08De2z6pu0OYFbnskAbrUOC7ejJZ/Xdo6zCMhaPQVwYjE6CqMrrgaU
rzkGKW/ABjalRTgx57g1sXKTKm8t6sqSQNJCjF7jPRFTQxpJ8jAfPerNEzHQXUmWp+vIgIQfm31B
x8eWLqXIcVtP+u2SlCP9SKxhMdk96M+J4dWYfuU86Ne4Y5kzt2RfH3WtgGRAWgZjpx7K7zOp5pN+
XgPUuNTIvnoyG4uCisfMu0Z6XW3B3IMawtEt9CfHx9nCqCHdElCQIdz58cR7GTei/lkTtP5tWJeY
4Sb4Pz3g6mfXVdwsjzxSxXMiEwOjs9yIgMmSNW2QsVBeZdLgMmUAIO+I0UqNAOFeU4Wtv/BSE2vj
XMY2BOzQcqzhyzKRKdQMy2BHKU/MXVnNDYK+vCt/r2imM4TOrJzndvHEyMVBa0z3tTWdo2iz8tw2
BO4KssYLG0MAL3dgIwbKI8OsrJJhO4O83cKAvQxHcxxJNRiKNokMQh/G0Eya+ski5IZVAAjzDfYO
MVNme+3vuq4xi4Exm0rCIYz5Av5kYV+keTv0JPyodNm7qbvm+76VvqBi8lN91zox/fZqsomPxjlr
z7d42Ohrp2O9EGWM9jRGP9jb3lncN10XrHbbMUV1Zl0cxNp264VBR/aTv5YjnDwcJPdJTwguE0FL
T8IYXxnePwN0zy6ps269bGQ23axaYpoYzo0CPEvVX+NDzJqdbfTujFEFjuUOI7/dYikf2+yow8tQ
odUVs3UUtbvdMB3iTSQd0fThytrH0+wn/v1ECG0Z5akmWojslU74S6forVSdo2lBXRrzhO9Lri7z
BStWoVzqtAzgbSfDbvZGrP60F9mBehdUJbAm0P/EL9P/3Hu566pdTqRTC6HEUw8ihzOzkJKk7hwC
GfQwieGbnSNpTFREptXcsxEkhXesxMghDZSlfTObCkFd486WvUt0wJ/kvqVtiyyeL78v7drUzo3R
tDso7DCVI+Yp2hah0zxywJRi5yXTdKVDeXF2qIILb6ej6mkivOA+fGZEHUOQG6mfhBjamEk5Og3T
CzvHB7KrpV1UYQ0go9g1dWYODw4x6QpQm7A+E38wu0c8+rN/pzkxF0yr4ATsE5NCL5ySJlYB75dd
h7w5ZKQ37NvTaUxTSyNxRbP0AJsvQA/DH7JLltWM8KaucU5iMeuj3sj13nAbRAM+sWf3RZYL5Dqx
WXFoXFqg7GPjOwE6FRtrrmEWXXbheZP62fS5W+BGzEAfACQgohTRbD8c3LQT/Vlh+ImItmUHACi/
bQN6uObnhN+J8MF0vgxD1SwXWqL1NSsZs8EgzoR10VowAgKRukO+7+JcPL2cd/6vZH1VsnJYfHUI
3IjOf/6fGzL6f//nMC5vWMsvf+CvitX5TXg0/qB7U4HaRGX+q2LduIyeyUkR4Qs58K9hy95vbMGc
iG2LItI3yd/4F5bR+I0/YLo6J1gqWf4j7z+hMtovjtd/n1e3QtVi4ulZjmdsJNm3qklbkGKVV1MS
JjOYMnCzlluFkMNEE3azExPaA/fiaVoN8QgtyMCf4vlZSo5Xm8AeIEzpno185nE0cuupT7z0Rqdp
2XPEqrSHJV+tZ7U2vhn1sjprGSnfIckG8TBoMykdNXPzc06wrDvSmuRdHQuTdM1qzW/HcbAvQLW4
beTPnf1pzlNkAM1a1QoXaaPskKJMFFvkds8XXqV+r6Tuo1FD4fIFkcJwxfQ8pY5SsTHsUfTzi9w4
778YuhsrVLvWxu7FbfStE6O8bZt4moKEsKbfiYBeE+wf0kIiNufduMsUxyuto8fa6QnQ6aXbjN+2
Az3ywNrhnrdmbAPgAfYio6YoHd54wYftDLMGoeooQ34dejleTpyPcnqH/iKCSZYUkoyqxQFlT39W
6p7GOL2ctOsO7Eqx790BwJaJFmkKcpeheVCOQFWiChxJvN2X0j41ZE0dpQTKeIVMRKz0wGb3q2GT
iBEKFBhaRBiwD9oJNASDaFIkba69gk/E1pWiW2m7HvOJb/vHxnFzGya+fY+4Mr7TMiFhavcER225
k8adViayYJH23EvB95MRYCF7DCWxco+yw+MY4K30TrpTcmJHIemRyaRhPSbfGXh9yDVkRluUmv/d
6WYrCRvHHr4TFT8PgZUDIDiaemnfkxC4oAXQiulB5YVLjhbTafqzEPhhumQoEkabzMycPDaVxhAm
Rr+5hFSLsI9wTJ5jAl+Mnx6mq5IA7S14nISVvudqF5gydeVrG5nYZMckRchZInearCasFw1WwSiW
Z6uv69+n1dF/zvWqX3NyRWtNRJXVQKECZBo2CjPWLkc7A+xvy1mIynZJvyeOGlTQ0R8G1EE98DTN
cfPkVnUCCxGIBLbRRayoEh04zKutLoH3a+lO7yscJsrLPNLD1657ypTnOYGj4JsTF5buDZEPYofE
xjmzB3r96M1idw1WmZhiBxADlYJj1k33fdHi4ipe/QKyROL27FfS5UJORcnhyjZt++CSE7mijB3N
NTJ7gqgzq4x3MJGbB6GXlhdWaQLnKDOJyAvndKqYxEqMsYe6y6bbjoDB7OSSsLGEToXOjiTB1fve
VCuo1k4g/GHDM2rnatY4xAUpLfRrZBLEhQGMKZ4Hw+u78853k4vGwR4fCH2eiQV3miXdAVbVRUj+
N+CjZaqbnwjNkt9zs4i/4H5ev2kk5KE50hzna0UUIvdOF83XItGw9NUcsLRIV8C6Ax1yVBZwpklL
AJTJ/OAxO86QpJjT1cQ2ngaMmMYnG+3XN5UD7SHoh/TZoFQVVHDO7d+IQretaAZ0/+z2UnODtY77
hxTH9HCyWP6SXdIP7X3VlsYtz5jVb8gFSud1qPMMiV82wdRafA1VGbydTx7D4gqjJg9u0LU43vaj
m5RktNVmM54PovGNs5GowflqEunsIixyPUq4eRqHM6f2uRyi5QwflrZBCvxoQpyAiLt25H+0SW4l
uP3IeLIjkWUscoTZ5OiNUk2dU6vU+ZXd9Km76xJCGomtwipzmalEimuAO/p3LXNNPYiLJPYORbGS
Fr6m+mYic4Z5vm5tIomOrUXhfVGDRaqgOzb2zVhoy3BLXJm+hsR8p3FEvSncO0EOCYLkZKn1M61N
0S93Y2k7cbCmDme8QEzt4syBWzIwokwx0n7XL6P+6K7K6aIFz5AWVsJVHCy56iuhwBaMR9OTS/fJ
tfWh+D0v4IgGZBp4au9wX5uQeFdvOeR04lkllkJ89pLSu+l5FvsAsDYn5nI2je/SrrXvaD3Jz+1i
7hU5gqnSUQ6VwwM1Yr/COGorYo9ajuPw5FJnjvolSa5scjnPevCWX9KsjMmBWv3scgWYbBxib5pg
/C+ehoxV1c0POcj1h93n3XXd5tlTwwnzPEkc43PMC/3DQB23hmrwAd6z6LhdBPvFfXaVGh8tW9Y4
6tKpHAivQzIJm4Hc6qDRM6+D5hl7PZgs4X22CNqrzx2qDwSt9EXmXTt0/Q5E/kqF2rLkjAo2OrVK
zWrjm8JaI9BHNX5GX59X9ksHpQxOvnuCZMRypIi2P9VKFQj/Zto5ZlPw7NEYksSyc/6eILmpKqEa
Qzawz8sOozGTdy4gVRBwfiOVM2PdNc4TsnYR5hKnPLsK1lU7ftKdDeSmuULEgW2MKZ0kChccAGgj
H1NX9V64uD7wlYHD/MB2Afw9yPw4v1h90s+o53RnRyLKymOW1uYTXHzEuzULCqU9xOxpn9GkenKk
Xf50Jco8ZoVO0+012lxfq7qeP9lmZkPXi3XnO9L64cEyLZMdVMxFGRQMvtjFsdv/cGvNP22Rbs9e
uuQ3fkvyIqDPCTtYZ/d+uWsSu7hdqjSr5wO7rV/p5xUg+E9jFrfIr+TQ4uND7f0zxzzzc9Kl/9MQ
jc7qVApyVVenDvBsUvNV0NNAcdSXqB6HL4RMMkyGcVY/pJR+ebCCy8GRKwzzlEIzdI/A2hnxVQwa
L4rBQv3SpWTb7VwC3UaK42I4xrFrjTt8ZaUVJhhRqmBILP3ZUfO6REiswZeCB4U4b2WyOOnz5OeB
lZnmg2eN4gHTrcTKhXE+o7WRxWiPZcOZa868h6GPKydM/byjt9xUjGIh7+sbl3/64uvVYG2KYvrj
VL1WCh3MXq/QGIIk7MexP2Gz8wQ0tiK7GoUspitqJLQNdlbKR3YUPT9lfm58ct3WpM6daY8lvYMY
ccZ4KaIl8Uy5s9xxsfbmXMHArShoHwcLcehh5eT0pXOTAmmCleQPJF01N9ASUxlOuoYga5Z5ccGi
TjqBL6bnkjiHZ06zy/cCWOCTt+ao99FccusgS5t8S5dbHfLOu6CCmqbnNXfi4SYlO/4RKaAXh3Lk
OBYodN56GGt5/qCyMc6RAhrO12XM1vNKpna7t0kT8s8aF3Bb0Kl4ME59GjdgyWi0fGJeUt9gv6nL
I6js+ZlIpYRkZfaOcyMeVRJ1ojImlMkkDQRJ3LonsKCTGQxGZpypdc0KdE6ZcwYFG0UfPSRQRX3S
EzXBM5yzaZrIeIGSkRvkWRNr48qQbLfqti33skGiHMh6Nr5wRmBWM1Idz5HX+v3nZCDMjhwSnOIB
QQ85UYmDjygXz5+WHf0Y7HOoidh0o6pb/bulWhf05p5LQyBrk8+15RPmq5VVTCetMpPPFXE/v3tu
BhO9yjk6BZVhYxbJ8W2c56JMbkeEyWSoKOU+lE2G0509Xl6lyGo3LEezEPFSzVBPNIRD4GKaxL9a
XYPxTMZrVlmj9sWqNNc6Zpq1GmE9qupMI/M7IeVisU85KOzHDLknC2y38BfUdh9fo6zmO6gqRu05
bcGyAboVi3n/SHT1HxON/yuIXxfE3i8L4vuRhYjS+PUQ19j+yF8lsfWbz3DUYhTrkxvkb5Sefw9x
dddgpeDJd/+se//MH3J+o9NDfoGHDpGsodczXOM3z6Ik9reEA5JjMR3/Fb/05xSV5KZ3LVioyRk6
/a0idmwDrLSAP0v6AeXM34dS0jQ7JzMcD7hmSs4e6Xku6HUzg5pWFI6X7D2jaBCok1wdlsC3PpdO
NZ/bkoBEGrtZFh9FZshPmGbYPPu0r9YgF0VuhgYa8T1d+O1/bmfsXUaxs8+mpIQXp1AxVl3LMIes
tuwp01YQBCWeBOvguT2uZeGW+kwIu12eL4zHv4l5pC60OZWPgUUI6RiQf167ESJa09wk+Ju5LwPB
GFTp2FwDMdTrcGlQ++7YyrpDNW4cwzrtmfIw6xnaCKHnRFOXwFQ3JLWQhPhpgt2p6pXIg9Fx8uYk
iU7WgklfCPYeIF3lt2iTV+j70l7Knef1BbHmRBdTo5MonkN5StwfVDTJp0pTat3r3VDOoZHM/q2Q
c/xTjKN8jG3VP3ZWzc8BCGJ9RiOQ3JmzOTOnG8ZyN1omZ6PpJbxE23JMMlLO2Xo7cpUgZZCUjkw9
jb1TI935G3ao7DPgDecpTSsyxqcsmZ1Q852mjWqDlLSIdsRUR7m1WqGxpaz4qzJ5kmR8p7YMlppy
ZYNS5MUDZx5CWvQ+HR/YfLaNlCjTq/Yl0MUaPP9LuqW8FORHdZEvp/LQNDqO/mpLhJFomjnvbDkx
3VRwOoLApRlRDNx0ZmVGvHUJSpKImRTObbNN14ie4dDU3XsvgTRYmqpv8UtMjZltLAIS0/gLJezB
nxmUv2SLYyXgpuW3ervsJfhmW1wpaUmYAlz4Eo6zbDk5JPRsrtgJKj78I4J0sklhYAQiScCOx9Do
d31L3SleAniWJS3ZPxypDURsbSE9zktgT1xUtRP0DGLycLUEq7j+EvDDe8SgMe4IkYmqlxCgdVht
Tr+gVD22Y4OtuDJGLT0j6mz+WXpi1k6kKkoU+XQ4y1tZNA3OL6fwb+mPDlTVdKyiUWjdl5kRlzwz
RKFnJyfu4vthGqnHIjHrs/lIHJdNlrFfO9n5Yq7TPcfsyftMsLKFLStFLI53EfngkXl+fA8MVzJN
0eieMCkt3DpIC2KH6ABT3HEC0jiRESFI+sgxsU15NcVYsANXGBJca1/A26womLMLZSp1adQMriKK
rASpvhxQ55tjjSvcp/s73MQgWx1o/CagtUzvsXHhX58Jx3HqhLFR2mdZtR/ajM5CtWTGeDZJm0wj
XUM/EuRlJWZMOLbkSJPL6YIZLuVkrLWMISuGCtnO/qPkdEiP4gs6+q1RJ+195us5ofe5sAfSMeb+
wXkpYIdy8J8r5Qgr4tSlfQMSml8zCaHsrTkNa1xMqmGBK+tJ/VEiz1Jd0SugcJ63Grp5Kaf1Fhwr
nhB31TgpbCV3MteU343ZNl87gtCYXvx/9s5rOW4sS9cv1KiAN7cw6X3S3yBIkYT3Hk9/vuScmZao
OqXocz3R3dWlKkpIIDf2XutfvzEb/Rl3KVp1+ALTKwxj/0mUleAD36DiE71Cp9hlrM0q8qFb21+0
cJLhV97ggOaGDBCjUNdbU/GTd01Ucp7eF4ogxwAKY6Bn+oHoeoCG4gt0QFtnvmlfUIQSGOZESkWa
xuuA6vZcWTomPxbzEbgUWgSgkX2BG0Vby6YjIGa9K0f4yl6mKtukHaTZ7XsjmW8iAqCSZo5StC5f
EMp0Q1OsL2AFEWx2YHIE3IJrANALEcLUWVZgGq0dGoafeRXjrM2QdLWBZq7oBY/NzYm+QB3phu9Q
evCzplpXgjN9QUATYBAGysBCt6ju1fhfYJGJdMXpbhgSskdauyIfRZotmGjM5MGbCEzucACPNWCo
4guSGs0MeMr6gqomYk2rpVnX6HqYCVaP8hespefze36DujB4uu05XwjY9IWGiWMDMkZsFChZ10cg
ZtYXegYyhxg9jRrpUxs0pJPdF9bm83WdW+yQXyJijWlClU1q5KZjkdfts3lm02KYRp0qFeOWO/UL
1OsaXb3KX1Cf+AX7tQTbvJFzK2MHfcMFoy+I0P+CC60IDrmNlTfv5vwFKU5RZa7l3peATrF1eui/
4EflC4qEc27sqW0BKIc6o8MVFJLcmYAE3RIjzuxJ97k/0mbBORNpasMlRrs3+PMLCm2/YFEk/uGd
gBXoY49jHKBQThlANB7q3rMadyLMg6m8BDn2hVj+MYYkfk/XOOOKrJywgkAg9r/F5G95lviS/9N0
5fRav35nBH79lv8uJtW/ZO1W+qkyR6bO//6nmNTlv2D76GQm6vwbgq8gVP3fYlKQrL9kS4KqRx3w
X//yfwYs+F38pYu6YvKHWvwVo4D/pJ78jcYGh0q2SORSmf3AnfhGaKYMM+WBCEePEOhrLsm3gTXt
OgyPP3GP/v5KumGJkoIc6EZy/IVM1Se6JKhx4oHzTYeyE7UTQSEqrHWkvT99B39DPfy7S91GUzLj
I05T/ZskXFYh58ktN4Vr2SnE1tgRJO1S1f4fOHE30vC/S3EocTw8RcEJjP5BN3iGv94SAzJirBIr
hjgjkzrejEwvaDOlLRYxuPnGGKL9843dntFvF9RMOFy3cOH/mpb9REjr0d9GKmaIKBjq9GgVJnh8
XO8FU1EXSWgJthY2zR94nJL55Yn8y2VNUnP5zmA6SgSIf18kfgaJxWqU0CNgxjgJZI19MM31sXrA
QUhBe33tx3I4TDephdI25YrGJN1AwTAOPoi1q9WYpGtlkj1aIKuLGM30pjdE/TSHWKCqGTEG4dTV
8MqEciUxLbrGSIaB08aIiq5JfWfOoIvbWQGpuexTc6OPRfKc4vPjGXIIVkYga8GIPylJie8RJdgT
KedPPqlUCLwT45lwtmwZkpOg2s3QCEezR+Lni776ovLVRTgqY52c1QnWk23XTjuOyvbVKGCnJH3s
0Cwe+sYgNkK2egd/XgvXJqWNeR6GATaqoXBAJLrlQCP7RUp1XNAj4VFSQ/OgGdXgSRnxWLreVZGD
An58yClKl2RbRsdkMGU7LfVorSKsX2li9ioWFRHZ1W0IRrBAAFZZSK810oNrSR8DYjMSykKU5fSD
1Fv4XuJgpgtGNt0SKATNapr1vSvoHeJfK8KD3UkpUI4a8F1r69WYopizgIqIhtiFqQaciF4wcTnh
6ifMCJIL9exwZ4SltDanWHNlYdYbinH5TZ8VLD8iMbcbMCXFnf1I2I1yYJK3JmqgSmb3I9AnwSY3
VroTlPJGsi98LXKmNot3eoFzR5+l/rpG5+nJM5kpfm01mxBrimOc1sEJYo2/lgzCbWyJf7jqMlFA
LJqlMA+KSVsk+HfpzCdHuEyp3G9KkgGuU6ZVOjGX+SABOmXGpo218DmA/SgRAU4XPPcplKEwIYtz
FpUNfOv8VQ4a8kCLNpZ/cGRTvyVZ060GH28niJe1DgZbmyspioDlEcZOHp2g5KpZ0S/FIjpGjTFD
t5+791uS3SYbLfw+RB3MGql8LV1asa0/OlFstrEf6LjL8HBnjaTUqGEy7YDch72dV9RepQx4Fqdt
9VTpfbDW+1hBRk8OZmcJoeEqHcyTtCfEoc8iiCtTP5BxIWkPDBOLE/JdvA+CPHH8ovQfzXaO6d1j
UjPUTNwg1koeNASMBJhX6cskYMdSQdhBh2R+tFJOkZ9HxhNDMcBPvZ3uIisLLnCPdJJHVeveBwog
xFc3lxR+wcYiyWqPX4U5MrySxHtlDkU4kqV/kKSIaSr2xuMV3o3ooqj136MoCI+jlsfOPBnJ1oog
iJKK1zzR0Rkt2RdllXoCH6P5IYRqGXryZGXxqs0nsYDG2beia1C1tD12Bzd/5DpplGoZ9HJVEaig
j9m5F+WYNpOAXvE9t9IhXYAtdv4ynyszX/oa7rq2YilFsQ/pjleJ0ljxfZIoimQH0PneG2pUYzGJ
cM+8IALewyqAtIs9+z7Pe2Z8YEJXbNWXuRL01h1BWowFJqRd6wpwVYaNHpUGE7bAPImkDBqxKGlL
qlU6shpv/sEFDQamzEmNyV5Rfnd3UV+oiatRixke1AZ1T/gUwb3oYbJhE2qDX2xy7KYfKeLUnuGj
Mr7CZNd0GwEV/KtKbsYfnQj4gra4UR5IN7WMTWKE7WdWNtNVmrJQuYsTHyYtTT450EYmz+G6FoRE
dTMjIwUujAH1XSqC9IKZiWkLkX+PH3C9FJGrooJTBcdv2p2GGy/a9oJU28bAr6KtcbrsmdozIiWV
uBg2AVBTxTzIkcg8eoC4WGMzFsefajjNDtNMAigri9xFltPID5YmNC9cJpf0kps6B7hGgixuhU5n
v+B5rIVe+CB9oN9VqlCeIEVKONV2dHmFJq9QhyO7n/prwvIqWtEZAszeRK63lEZK8Da07pquOda6
vvKh2ZZcyxQXWdUsy0DfyMZYuWZO/nPuq9KRLM0H+BtOPodLTiCSIuut0Q5bPRTWWWls0zF9GIbq
SSuqaDn60w+tkl6VHqJbqy6lut8xFr43xbC/5xxaMjlciToTDL1GnYw4nWTpgTQNXybcOQi6dZEX
y1nWAKb0+SGZeG1Ia4GIYcyvaVTviiTZc0rCcqg/cSxaFop6VCGSZWl5Lar0nCtWbpNqvxx0ZRmB
pL107A1QY29Ig4HQGpsLO8kb9dDn/meoDnek7BwNiUVi5edS7g6lIcM5C63HmjQkx2LIg52pny2C
pjmbJeuon1eGWGFbCZdgqgDZ4vDHKGKY0012YH10JZYJlWa54Zw+0Ju2dqr1bJkpbUhCwguRV0S3
5DtNG58j3Vgpqub05IUrN6pmInlpnEHxa1/rnk88S7swmY44SjOPbW5G1RL1ZjnzE9WiqQccXo1j
2wykAIn6IShkzn2l22uqKV9Vo/Y03FerfoTzOySOzuh3X5n+CiiMdSRnK7hvCxQTzIXS6ZmclxLb
kHQzDK2nRiamKRJr2C8E2RnQ2QEeCuqyG6vCDaCpQlojuFgaUNMVZmUbhkYUklU7hZnC/TbkJVNt
CAhTfRJCmlbJ7E2nVNT6CPH1pPQqNoP+qBS7dIZmS2h7usD/cKNiKuQyjmix8U7vIo3SUEzyPZPS
YJmkOQqcaC3O5lZrwte0SN5zRawuoRp4kxFOtirLmxioqL/5JjG5ulqZuZ2qQDnGQpzjTIxjLhfg
5uPcM/wJf1VFXBitwLBxNB8nf/pQS4aslaZ3DqMV/H/CLnXmBn6T3krGWTbi8gDeQkQ3qnlbFOtD
WZLJN1pCd8YS3FpbhfZE980ja6atZcT+Qk/FNWNdcUnafHvp685fFEVFLq7gr6xZHl5lYQz3lTEb
G0SyJz/KV5PIiFqFgLJPBG1dmUKxioZ5XQdw5EdDeFE461fIKHs7M6U9HfQ5HwkgrQlcY6oeEyQm
mrg2lQc0l81TSIfkDHUKDb+RlzCtCY5qErftoidk3c2iHhEtY9PDzwSNM5rjuemjh0IaLgB8W2to
sPaQi5DF7S/LQZYPkiHsMaEhPEkHViva8DpO4kFS+rWSlWdLmTZd1Ox64qpQ+kAQcqFADsuqMPeM
OmfPFPG3qIKtrtarYhyYsmv5YuoIsNdAqCbpM4mGlaFUF6j9D8D0F0VTDkFS74w0PCVW1y/6mVHp
NN98kToS76fxhw4rYsJKRU3MtdXWq2YgfrxSdwKvK0MuzBabZA9/5wCHM16YZnQoeulNGTN37uA3
t3A6IkzkbUkwXyS1ugSTlDkMLo5Axx6UuwVYx7Fu0gTzCwzBw1nY6WJ+187iG+4BN55274bCGLm3
LASW7BBuGgX7kpobD0xmtdM4ghmmhJiEQ4cBJM+Fc2neYTazm2PeddyD2QsLgJso0pSLUbVkEgGb
w8KWVm0CgjvWJklqJePCtuwM2yrle6GR1jmWOZ5YwwzOxH5aWwOh30Itv4smX2Jys8kSVHD6RPhR
pqq4gK+sb4hUEdkUm/u0UK952AkQ8nsksQN5Yo2sWVDmlDo6a/XN7YZxjc0kZWb0h7VLZ/Y/+qDw
nbwv950+CJtoEOA8K7elYj01af4y1rlrNPF8nRm62mS/Iek2OJywqK8W5YAlJQ4Uj1rbT/yRwzMW
LPss5bxBpcazxX6GpL9GWqkzaQkt0pd3uTfeZNQoUyNsp7p49ZFreyO2X2xTnqrzeNMgbRelDmxT
ITJYxCGoff3Fbwj6K6MUDhdYvdw/t6LnhzgqP9Kx2Zqij02cfjNfqhSCrElHxicCi7iRSN69GFuG
rWWNYLdy2mz9viGctwXyJlTvhpNLRb7S4yRfFrMei24uljE1awArukIYoBTTRzZ3pQvDIbzNO2/x
dmWOlr6qli3y/RygOSaEphHHB3yXxw0Yr/aDOM7kjrirQ0PYFdL6OrvOHYo8pEhko4a+vMtQI9Nn
tTrUjNxAnZBRH4tE5r7lAKKBI2eh5GVKYV5xlqcCCOj5bu8iqy4AiAZjKT4k0rt3QhlpD+DVFrSL
sF8iSsGBXM/wb5miBE5OmLSWZ95s8IM+DS/M8vXXREzHVa0qe9KgwsUgmskBpXT0EXeM1lzFavQX
QbcEB8yfYAiIOaHTBn7SQkOx1rkZjsiDGnFaRx18MjseZQwmcBho7EDK5F3oj/GGhEgUHAPs8pz0
o5Nv6v1CH7TxUCPlubZtox0VQh72dWI9E0rFxB8K2YefEvOGw3ZLe6MHuhMkrNHCaotdzS64VCF1
4X6f6Nd6ymNPVDrt0OYCkJ+cjgsfZpZbMnDBEUTrj/A49Yepb2bcusOOJmoqm70+9Ma2iSQUyjEx
2ufSCiDs41LpKD4kJJsktsdoCuUtoyHpDDiAiZgVKskeq7noTggSyl9fFIfKSTQ/WbBijR9QrQqc
wgrzcWQVfhpGV3t9PMhvo6WkOzGZS6fDBmsbZnUE+kvUTGfjt9UgewqGDD097/4G97ZgibuJsapU
v91rfpt6aSR+dE1lLODRtlgchOZdPI7KsbKk6jrMsuBOzUB5lknrUJt9ol/N976WoBCykWya2eKL
HuXaDcWymBiIzt2l1rIbqmHEY7XEQ6rK3fH2TW2gjwoDjJ8gpGrCeVdk3U47MZMV1fzMcQ0yC8/U
WA4nI5SnqduLahVJg1sxVIzxXWtJXG+RMJmD4lVTAoU/HXydzKbUSPHDGgVp39QEoZ/0xJQeWzWD
b3tj/QEdq0VwydRpJ2mIOnX0VmsxDHp4w8QgLpnkMUCaNIVmC0qJ6g+Ipgy98HQ+PYVoqCzgOsgL
SUqrXWnKoQfVpXFJZhC9YqpQhZnp5EnEcy47AqcWkqUPq74TKU/m3quViYCdUHGLocxhVOUGEEys
EsKptMgaZHOnSKqJRsg/VQPVkoRPGZ6b1rgsOPhnB3PQW9ImX1dS9ktuddxADCuXtPzXqR/JbwwG
c+1PGNSikvLidgj2cTM+oy760CMsdyeBgIFeaQWvF0Jlg9JhqdbzBbXHJpEVcROQYYIjLEOnMZha
N50lbTGOeJP1hPdtWijYiIDMYdmlc7oNoV9jUsMgUZgU5cm3MB/gfV4GooaJPbzHBZSsziPOZMJG
Qb3zZYrg6aaIjmKLjkJmHFeiY3Gg4+jbVmZ6oGlCv68zo1z42JCu20IjNzDzZc7KeRQOzIL1wZQW
Y1sIroFBna1p8xuBdqw8RoIOgZ36YpLwB4IQ02VOFupnTVW3tTbpnolbJ5+H0PgJOnrNOqrswioK
tzTFNRmYxo5XeeTANOCtQSqHdBeqx7osD2NERlOoi+0iUEdrU1mDNNmAWPFjU2RQNJsyGNbkur6V
qKYQw7SJB9u+9xozKZZoPlRPbQLSHkUlwyWxeY2mOV/gQIa/RWQKixBB3TqczepYFd2FGazuGnXw
0IuQU4xpSLy6ml7GtlKhBPYMrHCaXPG+G6tg1Jm8VBandS8uigwYos8l5WnK8mrh35weRnACezCV
A1DnxNw6bVy6ysylxei2GpYpjtIkAiUR47oFjCG7oOJwMomFGYiJD2UVUZkRCP6WRu1VlJNPNELb
0GRrxmw9PcTjZO4jyz/i1k07Ucv9swLRcm1NsOTtolegwskkrlUER95rPbsgiWnnshWjnSkQBYo8
wFr0Is400D7EZ4mNeV0mYu2S22ns2eJjR6tMZFkNUAYHQcdAyEgd3OJkBGOGRo48UspUlsanGXjV
a3Rz2oGDZ8d4HCYanTh/E3x/OMMa1aA5WFr8rLV54pWm5K99bt5rGAN6ldyqAyme/MOOif9GFskw
F+tWvFilFt/4/vA8g0wQ782q47AUFN2Lsry75qR7bOnFS6+osZENBOKGiPio4Nnm1hqHawlTyDkG
2IzJdMRnzypvWnnTPwj6KMG+rx4m9FJIGRPF6RWD1anUOBjKcsakP32VMWN0OC5Yb1jezapykIJS
PBIqJLIvWVRlRpXHI+oJjHHcZLKMB5l8bBdqW7AcrVrYKBZyTvJqM0CI4j6B5A8tVMKhLjQcPy5U
ikWotwPCC3dCuWpL2vzEcohXTY0qrx1iDEZjHMFtuacEDXk9bK1npagUyo30kqkkMiqtBOisQAng
fTrpY09WiZmZiy4Br4+lEKqVWeongjyyg1orB8za0saeYdS5DKL1tVBE920q3UsmzN0mD2nkC436
b6o0289rdgmWhFlboq30iaO0+kN1Y14TiUcJMy9I6obina+tLvfUsXw2YnMV+8pJmcwXDJPfKKU0
Sty4X1aD2R7RD76r5awuYrXJPF81aDua5i0MBsx8ymlNqCdNXiW2a6ketBPvXL2fi6Td1RzxqyyW
GrfEYG4VVsHo6SWuv0FkCOKJKNtkMw3RXoumR6WaXgU4a3Rsw3TNZ7G5qAMAR9UGweSkdYY/Uisf
yy6jzESKZsJBlwaEWsO2k7thkWu59eg30/ioKSV9lGIKe+z+910aqTAy0UwEJnmupLNe9d58MCx9
C/8gXaTYkqaJxglXB/AQx+o516fKlf1hWfbjxiAxgaLBBdDdTYZqvlQT52gSiij88Q82uutQQ8cf
TTdL5otepqUDAr/QYqCQSCz25AjL1L64rmlxi84wis5D3bgA4C45w26hsRbjrloPebQ2Ru1gRNaT
VYvbGL1Oqcq4s8SboFJX5pzdjapoLiDGOPiprbqC/dKKzo3Q3aHAu6/zzqkLcwWmuggJY+yAQ6ys
3wRN5KahvkDU89EyIGiI1Jv05pQLs/YiyySDQzRNJQ5bFJWuXAlIAWuvKab5MTay1dxjrB5qhGpP
XkmhnqbCtq54e3NrqxjSIvN7bBV6E+fTEf1MczItZWFp2UMJ+TmM6mcC0vBmpDW+tTZzsMHtFsJW
SfwniSxQ45/7DMO4BEtyAnvKWkbbgsJrM1n6vQ8ZCY2/l6odq2h2raQiih2GaEw4mAHyr8ucb3Cv
bga2dpC9Z0pZHcbMalaDXKD9mzdwT8qnQVE2mVYvw35YqyGneuSP6yBQ3LDAGkAlBxlwd9cW+ZLG
lLXqK7sck00AA2cMG6fnkyZB8VzGtRvEUDWsyM3y8sQ09MkQ2AbNgENb1HeZll/yBgAJgjbQClGB
uLcvjEJiKiDxZXRObOi70WiWoU70RJeeFKXESTYOHbjPntGaC8FK8h2Pcm9p/l3b1lQZP5RB3jVR
tMBk9aQO6rZCtOA2KXQVPz1NJjSbeeQPAX2m2bHkHk/tYBcQPkREdnbFq3WfTqBfnOhKK7tzld0S
jETcJwflHIRwZGbrBedgTCxx6ePwAB8VVqMce4oyy5B7xx1s7H1jluwX5l7oyi3qezfVeJeFYp37
tP0d75g1Mvizy6GrMVHIzmUa7JQ+fhma7jQFecQIod3I8eyEkmZeANYnyoDULfyu9XRN33cdJB5B
uAGYqL7zoh/PSiIDa0MYUOc2PnHgn1O93deUlLOYACDIQGvcfdJjhKtZ7RaP6Ashvkj3jX5bpg3W
wQCxxAYvI+SzpSptx6xD+jaQJAfsdELgtVOJSHL0YLhAh72Gqe8asUzUObbdudIMXoeo2G4tdlMf
dbodkpmwaCNxFYUYLiusK3pbT4/VF8X0yXtPuudC7R5qla0TQu7sJo2xVeXJgItWv4tDx+nSfY7h
uEZ2vFYxOxjz6Lm/GUho1b2s5SbIe/eSKv12TkxrzSziTmXXKpkNMuPEIDB8m/ppE/aYE8f6abLi
VWD6bJcMe27KXrf2rYUh1ZdBA1TALYME62jcVqq01pJs6VvavTkLR8xF8GUXZnQLgXrtorxxfGxM
oZ7vhz77iAn4Gyt5WY7C0dLDVwtGlgPusvZVGr9bK1dw64NQHOlNXEVMtloabn1rvCR6delEhnmh
1mzysjlw/r0UEem/umTep0E4LjO5pX4yCLlmKuhkc3406mRXY8i69IX5kQm2PWTjFivbI0baM32F
L+4w+o6uUkAfLnTxeMAOwScEtAioNHq5u85RdpfEw4jIGpgkEYVgQhZV03ah1l8bqKfhSifTbpBE
2EDWfChrsr3MhveC9yNdN1NlLINRNTESVspVWxnS/XSbC4pBCEIvme1kG3JrrdMRHZzc5QA+Zk0e
70A5+ySQpTez6Kx5G4mKtIcP1TpJ26TVoiCf2pPq+lYCmfqCQTJD5CpNVkmbhteMSMy3RJHjUzpV
oD6JNVVoSHzRRTstX/op0k6KEWJAPEVWgPA9ET/63gKJwfqwYyPyYZsHPsGElRi+peHo1ys/giGA
X0nQPQtDNXFCDsVwIsa8HHBxNjsOKzLkideO3giXIPg7y+tzxfRwVSSycVUia37UBY2wi6w3D4JV
SZB2UzpmKwpmt+lV0cPKeDwBHSrPvhCKLwNI8gpGFbwqDT9L/NFF34kZw6VeFFgVU542W/hGNFwq
vhlvorzx/BIVEVrP3subIHq1KgMPm2buXH1sR4epukI9Tq6tHrcwhbtRWTBOgAVc+NYFl3BCwsWG
vjGluIiQZ8rKQgIlYWPvhz1SFMy+Jw0fFzOXh4c090cSDnpj02uD+RoSbreAszbeBUmHx4qJo+eg
puM9ClhYjZDvAghkbgGtE7HNwAEgWWK5auS825i3BIMhat7jMHwxWq09RqAHngSh/q7LVLGz1aLp
CQpPivU0d8m11gBWyyEClAFXdedakhyj0HIcTMqrCNGQJ5EGDCUBUDVjfsuZDWLRb1nDehQanGGa
lv1HnI2FYVbltirqnBeIra0KRFctpEMB5r4Ygd0uljgn26jVlhATzoyGlAu2IdTBZFY3ngirxx3N
PPd6qu3HsRnJlMEK25ObNiduQeP814IUQD2aeq8FQnVlBaipVwAbKqjCe78whAMJnlBajR4io61F
I8hF0adHeRoYmeVqsFXrceDsGPzbaQLjwsb1uztEaF6cTpPirR+q8VksjJeqlqsF+E+zCBI9XVI7
WWiftAwT7YKDvcOg4CD2RhGxAhqGTQkBlBv8yK2r1SZYQzdd0bzPkk9MQtDV2aIyhu5olmJGu6bj
rd/NcrfsMQui6Kd8o8U31OWsNnVLWQCJz64xAuBdAz7Z+/WobhoMOTdqUqZopqqZIHY9LJN+kY1j
vOoYgN7oyrFP7S/X6h0MP7l0tVFBWWKJIABo2axjlnVIaMtJmKgY2+kwJtizoJ5on6RGylZJH4Wu
pSFdGdtW2yOgKfgzBf2AZZbhaqjteKZThoYjLmT7X3MOY6fsJKAES54QYpqBKPvs1z6tRJH60pOl
x3r4hLkSVj1jyGTLNTDdUNb/anGnkSpGkV7QQ7BivEGiCLOxthIPemVgkfCvJEviRlcAKsrYYp4V
RlwLJ6S8Gx3iGMOHwFfoib+4Qv8r9fhJ6iGr8NX+33Z9Dx/5x9x9pK8/az2+fs9/0/Osv0xR12/u
AsQIkAvxb62HofylqAaOAxZEK83UfjLsk7S/sD/jz8FND1oUmN//sPNEOH2mzu+x0C6ZuowfwH/C
zpN/ZbJpmq6hldDxWJA1lCdUZr8yzETkxJlQTL77cEQcaL+/RPYpso+BfQjtw+ljeb/5fHrfXH96
SH9Dn1O/SUx+u+o3qt6M54uWkVLlvlT2w7mw72Ai2U/84u1jx+q//fpj6T0/vh62D4fd6/3n9X77
fh7sP32OX9huv9/8N+874NZRmBNuvigeJPGtDs//fJ/Wr/y93y/wjfwoj2ora7f7LOynh3NmF/bL
w9PD9u2Dbcl+4r8vmT3bd2/Hy/r4crcO7PXFPq0vl/XucLnsnIO3W17Wy8tlc/s7b7Pxti/Xw87Z
XDfO8/XgXK/b49nZfG6vh83Z3W4///D5NRiiP9EBf/v833mOps7mLnR8/v3L/um8We1fji/bp6fl
8m67fwpsb3fZecvNzrtcjpfj4nj7iJvz9by9eofNH/zrvozj/s0R/P2zIKj6md5ZAE+XDdUUz/Lt
tmx4lm9vdx+nwL7Dg5HHePm4i3iWtCb8LeoG+7L8uPvg8d6Nt9X8yE8+lvbpObQ/X58Pn+/Pr+fQ
3ryeWV3Pp09W1/n6+fD5jgcX/3k4fz5UvBBP593u+fV9+3kN7fP7H56v8ivd8vd7uj3/n+iWWBvI
ugYrx3UXe3e1d2//v7Btb71YLB3bsT2HX9grd/Unm77bw/qnh6n8emFUUGNK2+y73CHL8Pz+uX07
Ztzv2+UjsC8HnlVu7543D6+n18MfvsnbW/VP1/5Gam0HlYps4qYFfVXpj5H4EiSniMKcCa1diA//
/A5+GdZ/vxx+qboBmVZSzO+JWSRddyn2Sb47l9U+GnZdo6wyc2AQ8lkZmYcQ8mUeXyNB8fL+ovaP
qkp6rLoR5tcpuR8oK7u7QIkO//yp/nbfBXPVVAMPURHJ/K9fADk8uWgwmWQ1373h6G1fIvvt7fS6
O70+nw7vV9F+eP/T6yz93bb780W/Lbc5rCvmgly0ERnPao8GkpyENnq6mlZg1y0CJnMrtX8gMf92
xMAmxhjPkhTpdqSZ3zbBCTsMzFgrxPNV0LiIWWeCm7IhcKe2n3/883P9fi3DYCp2o0pzRsoYD31b
W3U/tHXRQhglMajfN8OkvPbqIF/qOMpO/x+X0iUY9hzsGua6v36DOLNGotXHpptW7XzV5qCNnQn7
RwgLc3b/z9e6feyf1/DttjRR5kFa2M1SLPx6LaPo8k6tDcNlIqsdrUbzPVIR0z8syr+7is57gl+F
QmEhftsU+hpSC06xBmVtR0D4YBjLHIak+8/38tsqvN2MblL6qDe5AmbBv95MqUUQpick1XIz6osQ
AvzjMKeB4uRo9TdRhhrQLvw2dqvEhB2MivZHnFNQ/4HD/7d3i5zWhHvO+F7/drdGFyJVKsByYDvq
WGkC7A7N3Dr/fLe/XcUUNRjtlHeyqBt4vf56s40WEpnqd4rbNXW0TMwZ8RYys+V/ehUVFgZOVfix
oheQvr3YAdj+EOoGRKcKkX6NBgoDESv4wzf328uFL69En4jXjmRYyvegDh2Pgli7oecQoa1NWEmW
07UKRoVB9CfP/5s25dcV/+1a394ui8iFDI/T0Z3qmDikBFqV4VRNu+o6fx0bjZcK2WOBaVDVGw7h
OyvWmSdU+kIau5XE0JnhsKeN86uiqy42vIxnemT9inQ/xv/pRnD7qChONIu6FnLgt48qSr4C+4CP
quRxsWhN5UkxGeFEMYye//xrJpZKFRVeHYvu4dfFlLRmlioF4k5fyegDNVXcCZpi/GHJfi9aDe6H
xUpDwL0gMbkt6Z+KksJnzD1WmExGZm+AhkbDIh16+aBPsOZLMjLX/3xXv33XaIzocf4Pd2e2G0e2
pedXEfrGV1GIeQDcBiojB86kSGqgbgJJMhXztGMOw5d+Mr+Yv0iJ1cykihSLRPex1UAfSGTtKfaw
9tprfb+skb0uWwZclt0Kw1oio0cRw1w5ERfGefM5OxVfnXudh+dZ/QVByc/DxXgWrMfv4YVz5C2A
G7xgkmyJ3Y832P0m7PW568tESjqakH/WruRL61w/y7+bK/9I+9jhRbqweXn9JF9E+F8OqwPtXLvW
X9h890d9vwV7u2IbaETNTNnLfhmR1I1Era8vVaM7yglIeX7Ap8487iyhvJpGnpQDTQDLY1/BQoqM
Qq6rupsrLTGtij2KKyDC8tcXavlFNTxas0g1Zio7/d6Y+oXmKYQgD3M9SA9xd3XzoVW+2jxFgMwl
OUHg/Y2JwfikKd2qJ3GmcT5ZKQGShQf/wh5nFiGrTvl17JaNAWQlOE5Ed5Dq1TyVTlUifxUZ7wqB
qVq0dghkHZBq6m4U5aaH9OYVh8owrEb5XuUDytIXi7RnNGUWFm7lOLzP6wKobLI0eKt65cHC8JqK
bOom9o5t2Vvi4OP1E+lOMnp0N81H57aPff1bniaLF0b36TfEptI1g/1YtXRjMrIfVRIpJhloeOrm
+pDKyIa2Hwn86Y/+SSWc16R3mZO3YbcSwitEJelVNydmYJg5AB1mSW1H/6ArjJcy+TQUvCV7pjDq
zoZnqVFHzF+lnRiWPkDpbuwXdpn9qxZfBQ6lyQ5jqxqOwGn9PRowYjdNJSjbbt7H8SRgmOB7hAh+
2pNjs8rJNnLjoVdPnx/A/avOtlKLmCW2N9aAtbeoPT/NE6Lsu3lb2fmRJcS6JD05dMdEIuqE6L54
ppA3NE+8Rnn9LLQVC6sbYCU28XbTfdRfQ0ulLI0zRtXQiFuGADDHr6u+sHH+Yo3b7CUkktLJ6SKz
N6ooAMmjkFqyu3xrGRlJc6Rw6r6gqaLsb47TOOqTO4zbEnH4+1IPUoLadV6l3TzSVY24YYBzJcqv
F2032EexN0ktx326rNAm5Vc0ZVF1eXWDOP2B3qKiBmbfmkVJel101gJk+QuCYlvzam9DtcmzxT7H
Qocmuje3fLXBOcxpOVeg7PMGU4vs1uiV4lyE+bQXxd6lieTtwcj9lIu14lcfq54nbFc2ExWM9qhm
d89PvGli7bUIfIzBToR1S6v2bBJeLE1CfEiQx5FOzMagEbXC09MyabqXlu+vqgKAxu2abGNcnHub
RKA43eTfb+aN5FcEwMIe+xjpiDIif+hV7QubxdTw3Y6xD1mkwzrMB+z2vc3CKGy/UPS2mbehTUyO
p/azGm4ZLnrY3QTNhSejJh8QMXtZyHL/gmX0pKuKLNtTVqzJ/0zLane2k6IkbLKjILJC6PcByiWc
QrxOJ2iUo8OsvNDXJ7OeVaXCh5BJMFaodO8Alcnz1JJBJrI4Ks8Tqf5aaCDMPWv4xou9/MJ+8WSr
gtGrGCq6Mfx/0rX3bEsJiBWx8lY89yKrXsgDgYhZMzaHZl21lxWR7hxnXbICLmsvn5+rT3bmbc2T
/cPwstD3ak4kshNE5cRzwICEoUrFiWgK34W2+40st4Msz/wXvuOTXYsaMdjhCDvskKSK737HUKt6
/Oom22IpZLdANphn6TyZP9+vvc9nTvd1ExOAJajxf/sqMSmJQkltjQC7lcjQTlI7TKpLGB69Niku
k2SUB31cvHDi7E1RKoXIwoyZ6kSOYN+2ywxoFXYtEIUriuouJBZzBeOclyuydbX18x3cG8apLgNd
IdwRnGygqfY2mZZLiAe5Np3Xdah89KLCm0Chxes+1rYWsr51TTUxeHCA7H4sbwS6X5CtNddItF6N
ShCtBei7144b88GRHawLy1DYM/eWdtiXvpmPjBsPZ0TupVqVfSEKskiWjSirF2z9/esGTg8ZXwDH
JrNMpkt7E3DgOTMpWzKiQtJk7EOr0PGEZL5GfIctjET/KBMrgGhFVg6jeV50IrsZC/hP5Mg1Q7RA
8ZFwIDUkmu1birjhLYHyWbSxM2BOEKeybhGQBYDGsR6q6PT1ZANUx+2oVsh2RbHz8ZXTgM7YvB3x
jXhJUvaNnJKoFDRf6Iw2Rg4YStK34dl7L1gaT1aTxtbEnRf0t8XCfWIlDk7ZAqtCTN5BV2GW6nVP
agcXGNut5VL6pnD6GK+zf/lMCiw2Z0JKgEJ70rNasltQTlk6xyVXLroIOWCeyfMXJrii7Z5p22pM
ha7ByeB2vy+5GhP8Ac2GxIiyJ4SZMF//DCAyWVNtOR4pnV1clciyA+MP/WXV9MGitqt+ppDptLLK
yj8gC1j58tpvOtnKGP26qbIl23t2XWrXephGREo7pKoehJHRLSNJaC/0/MkGwvjivsN21KZDVZ0G
5pGNSqx1mKYltUTCCK9Qjgwuuogo2tf3he1jcmboMmiOvW1Kqgi11oSOfG+oEtLTSM2KsOLsH8wV
LAJVhZ1nqliru32Jg9yQksJJsLJbkuX6Tp2j2TH8k77QExxNVGRsfauPRmwEjVFiRSasaSX5nmty
tyB3CgjX80O2dyRvZyTUEZ0vg/+H6+VuZzg30VmfqkmqXPqILC/hheFIjlYd1Cv8cvGhFRJ19Hyl
T44uZgPHFu4CzDu6tjeCY1gDYePMnNu2B+A17uUDPSY2G2mZ9Pr5qp5OPDYQbEjsHXrJLN/tX4z0
hKE6fTDHm8rFSMnILY7GJC7mz9fztEvMBVLaFYxr3eBg2a2HdFYdMR4csRlxMV+LjktACXAkVM2F
Y9Sqtnm+uqefTcV9Dx5OwxlJsPxetxJFmBXHNdXlhEcJdgljOXQDATcFaemrmGSKA5lPu3pttdM6
1pXpLQRntzxt3Y8mZURuGHJLCQG8MsSJhalA4VsZ5RRP2IjBmCnsWdHcT1Pxgud17zLANJ2mDLMR
yAKepu3z9aOKe6G0dS8HEjtl5x0HuZUexpZPEms/DK6fQQCTklg6KxUtmkNU717o99MjCQ+PTLiY
g4sENqe622+iOkRPALXnWmiEtSRyj8HEt1QiiBKphkO4UO1WeWFKTd/w0QVo22duWzCdiBixnX0V
a7uVodaZnueCn5AWUhMTXxlF/Qu1PJ24dI26VIWoV5Uptds1J6ojJAdVj3SgduxOAJ7in6sDQkXm
JJsRVPz8DHpSHVaXKluYq9TF893eceM3vW40RLKSwTjKZI5FnxNN1g/UEljK8zU9GT7mCRwlC4ck
D2qKvPfNpKpphID4TipoAMl05D3GU+LuheF7shCnWibYFWYDj2n73jnfz0uw2igKwJnMLlXCNL+V
GBM3CtGcU074MIkW6Ob18317MorUygm3vZqyIvZHkRdJRxMNeL/Y67OjDDm2WdUqMRkKwl8+X9W0
ce3MQgaPhc7849ZGePE0zI9WngmnSB/RZnID1RJkX6h9+9GEjR8OsyjWZP+UGy0henVU+2Rcai3k
ltca7Fw6Jm8QjmVKgtS/24Kk0gVvVYnhAmknrrzQMtL4CcH8nJe2/tqLzlTXxD2c7nEsh70NbiBI
Oc1tUqyDqCmOmljKT1U9fOm++IvPZ7GedZuhoV/7UzMa2iyV8CMSLyvH5ULSJejrPl5d2S2nWOkX
VsLT6qYVTtCXyrnEy8ueJ6XXBW/WnI7E9prtcRSrBI1nvXJupQiTPz9bflnV5Kzh9R/3nbW3m/ix
lgUJnBs3haQzzFuj1G+GUiJtpETS4QUz4ukKp1+PKtubmkpYxMS1D7rrd223LNSsm5FNl76w9/+q
SzjesVd4mGfZTT9/tADYhAd1UFsdHKRFRl5UC+vSDywyWIVt1P9g/Cw2ZAuDhZv9NszsUWWwOHmd
bhi/QPOMpV4nMiqeunSiInX4Qr+enGmIdk5vNaYxPS3wCrjbr9EbSPSNqEqxmupjMGr2fLRjGThF
MoDIytIXlvEvvhbeChm/kwpKxpD3xrFxWqGFeaWTClpb120q+weOlebz5yfgL2sBp8eGhe/uiYO2
Upwi7xAic0PodudZlKiHaRNFr70IT2OHt5+neHziXO93x64PalJTrYRpbsE5iSsSCpRuHF6YDL/4
QroGQg8JFl5FsQN2a6HosdIzmSTd2rfu+YLFojFJkIjLivdS1PXaFwZv+gS7ez3TG8enjP+Fq4ex
VyGkRiHxmEB8hoQMpyuPFVJHHR7IDW51Hkaf/1RPj05FJ1BC1hlJ9or9F4WwTSyj9KmNeGyHcPGA
KP6M0O9TvytIsjOd87aT/RccMlzrp17s9BKSKo4FzhQVQxIS4e6w1m00qiM6OTiwy/q6UODjHdRa
WJ8QzqORSVcYoBcytZJutCxPTlF56vD0D4W9SKUxspaxk5EaauV1eOlH2uDMKl3pCTaLdKLKhWGj
C6L56VVceKU2MyGQI2Jigi1cYqLWhYuIbHDlsRTAOtZ1fmwXyGW6PlHiiDCbJlS+RurVT2ppVDcp
Mr4kAvkFEpRNnatL3xo9ImlqXb+DgpSfxoU+2gC+rShHi4l8mbnuFzHvn41Vt+Rb58M1yTrKoQim
CIscAZYjOZKtjSM5oFFSzatXcelFJyRy+vgPNc/x3aAyonNCWdLM9csuORDIDvgLYtDN21zHmTVr
GlzFM9QY8hOEI1E2CcJSgn4mLBWuVRT5N4jHF8ix+qjxzCo50o4HE5D6EQrINp6wtrURS0SN40sc
wAFjjLzmmstufNO0tZfMUo7HeObDibhs8iIayPbluJ9h5IVfDdDLqKSqZj4slbGv7n1FQtXD6Kr4
2rETbTjMstqGTjVmH4logkOWIhp53Wp5SPJEUofHTWFauRu1VitmZcXjReJPPFtVIfERWcoabJBc
lNKFUY3RV1/BgnPrILebRWmSa+BakUFKqmTD6gGTK6FuVZlpubLAeBQEhGndiJKaj2CIPhbdAZAs
0c/sQNc6dESC8GZQzOCG/GGYB6LqVeNQmqDH84Zoi01F7NcJdj6DNlTAqGSj7AVQjNE/Idu6Thda
ZNnrCKS3Oot930rdmru15kIlRTK11pP61kIuDo5AGOtfWjGIdTdUxinJjOa3knd06zgng7uDemyV
JPE2YPxTxyTFESnm6tL3AFW4qu6VCFAhFQ673bTInEDAdIREMbSpvWirQjs0wjGQ5oiKTS/3siZI
+I+pzNViWzusUNW8jdU+uXDACt43QeJ8QVA86t0RB++xX4j0m1Lo1Rfe7aRPIbzsOz8jAA1yW25H
rokdXS4sq5UPg1DHEDPDVh8WepPpPO5rjda7WdDK5zUoe9OtDE25JserNQBlO/UFZKbCcjHwSNki
/6niOhyYybHGBPoekKjhzXtfqqBLg8fja8Waf9Wyw1+3gzN8hfLWwHKqGigi8Ga6Ypbodt25gVWq
C8RjjHTJzdiPljlvsfDu24D8cVzN3XIYpWrlqIM0xZrGqApqXVPUbqfr4+c0actjn5tyuABjqd8P
VguexgI1Fx+YTluCyugNzxXYbmCWAarBmPEFcp2BMzZHMq6yL3jKRmOZtZp0WgKa+CaRB18fEimR
HcteWIB2MrX6Y2jbib6svNo/jMcyiuY8PNpgkYBAxUuJWKL2sFOxKJZjNSanldUaGzQe+kuzzEaT
3JVWILjOEKDendZCnoM0Sq6lEkEDqdX1c7WrEO32h7T1JyWC2nTrJLS/jUpfnqUIqZExA/HAWfBC
mhvLVCjpUav1veUWlTQ4ixBJInuuWVvCHoB7MQtzlH/nCo4Sgh2xQxg7ozVu29HvoEBFY/+ZQ8i0
Vk01kBHdK1LWLxVJNZARV9M+W/Z2HF2QYGPL864xjOtGgUgzL7QhQBqnFs1ZNabou7Rod8VuoVq+
7saxVJGUyqJX3K4YeaHt0lKREYipofYBR7knDcsm8wgxgJsGXOzFqBX+xxz2wTcVJ8N3QEYlu0af
NHgXlTSZM3Fi2MAJWE831L1sE4YlWXwiH5PgvJSJhuW9aRiuokkLg7DnyL8jqSz9DmvKRrgIo7w9
UIZJ0rwPTId+1+1ntW6qI99AchpMeh9d62VlrjHgy3AJ2aw7I9ZA+e71aXYugXnoF/Yw5OuuZFHP
mrjSbh2y8PqDhht1MYtRFvwGiw8VMLDjU6okLoV5qIG4P6rDsLnTPDjKiE1K/S2RUb28dBjvUwMO
gsfQpcxak2jqpZkSGLDwekGZii8B2bIlp4tXahq2H4PIkz7yKiutB3nszqb79rcuhwc1q1NN+Zyh
qNzwkBo2vGSY6HaREN3j+w2MnlcQfSx5a0wgkBxpWdrcYUzV113fMNlMO2uvZDitd2ikcSL0HQi2
mZMo5do324GtMfI4SQzQSBzNGRlgZIEHGfJI5Ky53I+9z+UPGSvUeDmHV3Udpx81GV4hCJtKy+ZF
nxSRG6MWcCH0qr5vkSU77HvEsgIRe4nbZHw45tukpzWluF9zsJm3YIvQ2xKV0n/2Wy26KbZ6XBon
UeZak0yX1Avzm7PV7vLjAlFlbavpZWhS+02JUcpCunES/Wp10tyId0hO4q0qWGB1yL4PeScYna1y
GFIO8ad4qyfm1BLaYohPojMml+x8CEaTskzyKEpkhUdLZ6CKUCgzEmBWNHdSLuuCiSwh92gXzgeM
WXWJ3AWQBdsaUT0DqAiZyAlbNVjqZkE+HPu78dmzR2M4MKVmossTOrjwpSAH80s830go/6S55nWe
r820SYpN26qyCTvIJ35lalWI8k7ybdqk5FZtRd1qP3DEvMlaOqBvhd+GcBKB07eCcFnpNJ/6SSWu
4l1YzCXfVjSGpXJ6ZF3QlEPHQf1SlujM6e0QfcPrJs6lChW6ftKjkwIFdXV8LsjUEfHuKSvO/ei0
zCSYfShex9JMTBp33lbuTlUbxLI9cvoQBAsnLtlYFBDFeKGV562QCgNLoIsjpDzR0mvqRL0taiVH
7isWUcXA9zabDgp8MlHFpDPWaAKszLjtmIek+BFAuRXvIypM8ex5iMEH9ZeHgjq8U51Yt8i2L2Np
Gbd5nt843L/CucT5ks/hQhlXoO18B81MH1W8gXx7ECAhY7+qs9bfdLYMjykaEaNcSk2afsXsJKOJ
C0Iyrqo6ZsUoaBsqEKfz0DvoAR+y7CA5VYDzmgAknKYXwCdVW9xFrSE3S94Yk9HlWALYEqQRLM8w
TKXoqMW7rM9BdThkKCIaklo4JqrEOMJJWtHpJJKj44b8X9I+MxLig8YNwQs4lzZ4SCiDXZ1ZX/sy
9a+tuBedi2tYxD4sHmH6h7zfSONnWxKleV7znjgeFlk5JkdWlhB1GocN1oUbOraaHEuJmSNE3cBQ
XMGdGuKPgRZAxojAT8x9DRW0oxZbWz0yUiOu73USrhNwz0KK0ZHEK5gsmjxtUMsgQXhYdY0dEm/I
A6DjLSQ5lP150BYtVM2YLJUbBPgKrz/gEaksYL5q3uAcEeyTVidCGTD82E705irBvmmO+xYk1EcN
zgNq4iGhPWJB2Vq0HHJUaz4BDCK0rTNa2zno2CL0Sw2Tx3M73h+jqxz5sfST3akxGmCKJcf+F6ux
0byordCWv0YZTD+ZdQIAhcPT4MrAbxr2YaWXYFWyNIBZC9mcQJ8YuCbAFM5RBaRGDDIWIy0FJ8Nh
YCxDi+NyJVL26WuySklvbkY4UUdWWIkWLGlNuvpQhlb7SVHicbzQAzyACB8lfUH4X0dMfggcKbOC
dmN7HlAMsIBdtiw1KYXm19WB9NkCeJ6cAynAkQTJqTHGOdKZnoyQ2zDxjhogJt/qgvdv9Hg6ri0k
UetNHUCm8gWKjNDKFn5D8ME1akgwhsn41qRVICB/n0IiLfQSMZRWYjcAH/y1auDyYSUESrzUvFFg
6ZnGdCGr6okbU/Q+FfP5wsMCXjjmlGN5pYKsblRXZ4WctWyuJHiQ3d9CsxqPaw8fwncHmddkoYFM
U9cm+nv2aW6mdXtZ2ImhrWqB6gdWY1W2n8mlsKbjv0uT4cug1C2yLTDpPHEODIHniFkpIZ3lZkkg
uPI5YV7fyzEEqUOQx0aCR8IISPsmTtDNci05zNuwHQ/VSDKQ5WuVKh1gZJZZsgyDII5OnCoIoXd0
kdVeKHKPJldt6s2N1ZLKcK4JHgVmmhByc08ih5EtbKNtv/SRyhZtW51eznVbpHADk9G55AFMyRYa
tLTcDQbCjxelDLZp1ZSBAvRIry1uFI5uCHk59qJHtQX2hB0sIuGVBSYdRDfrO3nkinfWVxLmXTuM
2ievb8MO1Ubsm2UDMQ3YnJpa2rxWIZgd43AnxQKxXfBNIDah5VRl1KrXNR8xW8LJTlGIAjQr3ypO
opsHFkQ3Ddp1XVsgjss+Tz4Ola2IGRy1Oj2NI9sLT6FHED00gOci113qxuKKdwrIP42kGbAs2iKq
P3V6nkVg86ESwBAJSqGsHILUwkO/idnnQq3TpGXdieK7h3TQV8Uax3zmSaKxDk00pFJEfFWgUK3f
+ZeOE8DU9uFaCbeUtS459qUyzl1Y+GSxNfi8j3hu1moXRgzXKDxpknJRZTxKzRS1585a2CFIRzkD
2TdvTKwj/oUuHiZ1zmpNBh9UQeBEJkYGKp4hfOB+aG/7Ic6ci5gYQ+82HJUsANubaPZx1Q52/KWP
cWqA2ZKH7CTQ4JGetTR8PJN0tetO07wyuH06iYARhU2rJ0AaiRE9KOSe+V91hW5eBKlhwXzpo16z
sO1GP/0MkUUqvo1R2W/CvjNgJGUe9Vzacs3OlYZ4xRcpGkNHli0Q8MRBadjDp4b09fL7APAt9g9C
tEWVC1NO0s9Ky3RZ9I3sXehFxl09bDJv0RQReRsMWPTdZ0k5yLNFtrYMsr4QM9DjTTin6/YxIlh2
fQxNiet7ojn6EdzLyJnFvdGcmIYwWApVZmeL0giAEBOGon6vO/QL5jgYOBmquCjvjNa3uYhVVn8R
WUTSsXoSoBq5GXvo4lZgZJaUR5SdKvnGV664+bgamz75hIZ9MC7SwdZT1y7LypvpRq2fDJGfa4u8
zdVqVU35TjMuIEmzqiQWDwExiEcsRBtb30cRrSBg5MWqMYv2JG8mnELhwNrmbE672ah0XrWAKFgi
ghZH8bGVhSIEHOLE3SJUi3KhlK18q1VhBqw8mta5kEtEI+3IcsIlr6/DPCRl65ovghcBs8G7rOHd
ZaBbOlW4UTm0d+iwm/e95WeJK7X9eFnU6YCPTVbKU0vAh3BBKxtfahFBCbQMgv/KPlVGtw7VcA0J
L6+WZdj29oo7ZVacCUkuTH8Wyr3sI6McDvcWQn1s5lroAa6T0AZaG2NqnKiO142u0wNXWBhy1F7h
ISmVBSqB4ioBSwg5Xh3D3u2Uovk8SlpCiG9HKPG8I4DuRtiOBYC1A+3sglitIONohfwd8bdBX/QK
bxbu0Mn1iCSmgttVElGx4cMl1gy2MRqApJr53+DzSTgGdAGUmqT76KsSppDKgcBwePpOkX3LKyXW
lkUrDd5MNVvppsvGSEKYKY8VWMJGoyqLQfOxQiIuiY1bVZmizNq+VRjivtLxYGd5cWtpUZ5CF/KC
hdP06aZSw4o7bN58VTr4RW7IfZ0GaxKGecCV4RN5fF08syucofMK6AaaGr0ZXsuhgLJb17ptuOrQ
fg8yHDzIF8InQdXL1++FNqG3EubOueb1RDCaWMZ4L+06juFrZM3xoBvKvWRETT/rHKu5VjoCy/p4
0LAvStx9ByiJg6k1mrRQjtSkC8BNdX5+n9Ux4nAiF+HXrMaHxH0Ho38uRfKYYcXrQw4yxmlvPDtW
ypibAvaGHhLljObJrElU63jUhFbMes8HguNrCr4zNpaaC3Dq5De9qogcsigafQi5Juj6SloNfzRO
U3MEXyax2So9Vi2gMt9W2Wc7A2emGDrhkgAVIss7Dt5935Ts562nO5PuciQVM8ewtQuMIaxZZGt7
pMxaudqUYU/Nep76qRvanNsExQkiMupa8eNDRBYkGwpqGJkLUXjhdyltVCCEdmR87WMnrOZe2pQs
9rjppDkSdziIy7IVwRlaBcjkeGxp3WloJwm7T2ojJR2LQsXuioviBFsRKY4A8A4SI3I1ftG1kpdY
axBN6wIOZZEgtFI2c58UsgkV1Vsbv/E6iGrsqeoBtMZYA8IiSG0L/bxaD2PV42tsC1i/tV4DuESJ
uIJfx+Ma3EUZ3WM3wNOCR8bQk6tCTob0TJICO16ogRN+YzImg2tz5Cpzk0vRSguKqDlsSxMiqo2j
H+EVTneD+FRUYucWam/+qnPyYlx4nu2JZVPpEAp5VMyMuV/3RTWLtBKVT9zq4JrtzMFl0fQiD7Bg
odk4IlVloKy10BGsATQ1b3hKyxaSBK9pbjm1Cdoo1gNxIHmZ7hxC8jY2TQgAaAFnuyf6zPb9y65W
e6D0KXCupizmFE9MIxCbijRRRyQKvFhjUOdyq6RiUSCgM0xihMKbq6XeenM7Hk150RpD+D1tSxS+
+37UgsOEdD5Io9xW2v5KeDHCxy1hfriNKsR4PJsbjEvIo7yxUy/hno+5eFygQFqttBEQNRrKWI7z
WlPby7qxtE8sD5Bbgldi+Gq5YsxSKWnOSGvFjyGlccsDlwQj14gKf650IcsHr9enSM0RKw0jW77x
yI4KF04+4BIKNEKuXNREkmQVKj3/dR9lcFmNMcITruSW0YO8CWVpbicerl28JdKViNLQ53DP5TvF
C02UN/DMBIdjVyf9KuT1w56pbVac9xleACjkOES4MTQDuAO1dY4joGPjcdphkLtcfuXsoKiN1Ie6
nrNX+XZlf7ILR+L4w54K5yPRiLV/ycNGkF4IbhtnoYX1P7egAIJTHvK7AvVz303rMvmO0Pl4bfBK
Nc4mXREF31qYnIRxqxBT1utTqr0BT79tSGxGOjA7sDzbCDnQGGR8SkN13jfNCMUsGzCQ5D6IjwVS
Ps4itU3MXqO3jtg5x6+lQeYcwioFqdLYeF27wqUqHdS9hl5CDg8UxxWqr8GP2L9XkXDOi012hebO
pj5dF/99+k/v8gKBJT+ot+q7//G383YjCHzafOAXqw/LJrtf12Ge7f83O0Wg4PuzNfN1vd75y4JN
uB4+NhsxXPIYkFDdo1998tO/tICngi5yAneu83/2Sw+iwr8u6CdE53ooNv/+b3ckqNdT+5A4zR6z
ctACe/Q8+FdJ2948V0LCkNXNPUVL5h8ckbz322SfbP/w7JqQE/Dwc8v4A402IjOJidv+4ecQfR6N
0d+NwvMdfBjsH8rKfzV9ZzSf68Jm+90O7//930yeeHcYQ9sGvWYMlD80zbHI3d/vu/OHRmLSpP33
Y2x49fzX6vv0Dvumvut/yHxVhVCrvc+u/uHINj7B6Q15+vNjkP+FPrvy1q5Lmv4HM59HeXJ4t39Y
TI+nvsnPzSlICszC9g9j9K/1+Scay5s+v6TIzP3pzxQv9bjzhvbHj0lPMMH2z4+qfmsC/MYv/bWP
ukGY3G930HBTPdqGX/yFh+3laQE/t41pb1C5MP+Hnvv2V6ct9UfhP7aQ6e//Y2eH3W5uj344qb8/
+uvO71ZPfvln5x/X9fifdrr6yz48/ONBuBFrcYcPebvV/ezV2Tpl23bX2fp+/fgomHIU/6ORT86M
v2bJc6WuOH+zZJ3dPxQ1DeG0M7y14NNNH97lD+VMpRL4+PDXX55xv9XeqzXn74cLxglzgGZ/OA1L
cHK7Z6Q6bV1v7cAnEn429x+u6nW9qR6K206wKVPhraW7FCDWyYc/040I73Y+K/k6Nivvb2ugMb81
VO5ahLe3m/Wu+SDjl99mp7xQ/q8m8F82wNMFuHu2v/7nP7s7jS9RbWz0D0vi8aJ6ZlH+16zJ2ToQ
TMiHj7Wd5Zwofzu0v/vlhkI0O3POeI+lvh7XTGeelh9auG3vdAq8tcGHYm+WTfnoby60EutN8lDO
tq3KOwwubS13Cp1yDd/a1qNc3O8NgfoOQ3DcdOuwfmjedggmDMNbW3uyuV2TBPxQ0I9y32GGnad7
YzAFdL61sR+5dYmHYrZNnZBQby31at3chx/+FOvbcHfzneJp31w4t9jdUieYxFtL/XkgTW3+sEhD
8eRcUt9htL9sqvrDbJ3FD+2dRpw4/oe//vOT+2aTbnam3DYj9a2DcpZ/YNL9t+rDvg1DusXb27zK
KfbDVXN7H1ZsnHc7SxHk03tsy9dNdvvhsJrav7PlT4AXoGHvsDn9edt8OG2qnRn5s/R3GKP/ebm4
Wlx+Xsz/14dp8mwEA7Y//y3QWDqq74oKOhe/wzal9PlP/19nf9BYPJk2SSvEvZOKBIn4P9ka+VXf
H92TdkyjxXRT2L1H/f3Pf+5B05rWHLLHfqtfVJDxrZ5YWLvWWH6HpfnC7/wrXKP+/L5vb5OEv79T
/Ozyb5prf2acUHdEHu2uMJxIbyy32jtFyNt8W4mLRuTF5qGM7WEqw6F4+IeHzf113T/LRR388iKz
vYnvnXuvK/vPhn0XyeWdkZ0uSG8ciKuc6JhftVlTkLd623icTytht8VQJsFmkuOOnjwJXaS6PDFh
XjcuFxhFfr5fC/k6cKtI1gTxSWKGPCFp/naX/d1rJHNmvTcRTZucKii8Khm8pBODc33OPvjdimZr
0gbufnHhJvYdb+WUvEP/AOI6z5ojv1vd6abKi7xep7uf6le7/9sH8XTtB2Jz+/A5ppVnaRpEJKbD
xDh1SCqc8gnf/LX+uvR/ONvUwUY8MSvIv3NAOgMGATxCqodjaC9W+6vz6D/HF0DIFdvTzoE2bVL/
zzvz/ky4ge1OvCe7TvP4Aei3PD5/Zvc5RLyH7znNMtKQ/3ZO/e7xNu3Bu22dKNFvLXa2IVKhSR8K
mhr7HjfxGdko4XrrGjzYiHHjE/6X7QzJRBZ/h8av91w0T8/m139Agj18vHY7zZ1oz29t7nyTpWux
c6ebsiDfWuyhQMhj13VsvsOEWxBnurc4psz8t7bWHTd3we7YTuSltxa7DJ/4z63nzt3fXHXLtcg3
v7oXcht5e5vx191tHsrZ7hPvsKJX4S222p63xnmHL7fiqT6rNsPjBjtPjPbm1fvlaiNwHuwW+x7j
wJvK7uhOCLa3zjMXxfl6d/oq8juUe9Bk7Dk7g7AFHL+1vYd3TzYHZaIvvbncep3stnaCBL211KON
2JtgyoRweXOxuI9O18Ou4wt+xNtLPlnX7d5s0N9hdE/COmj2TRPl6RWxefViuwI5u473m/wOY3wS
sq/Xmwzf095TzMSYeOsXPGn6TXqbN8J/KGvaLmHUPPz14dL8+hGBLHjPmDwUtC13IjK9tcmnebbe
e3qdeDpvLnba2x+K2TZ2UoB4a6l/c03ZEifeXHYuuvXuXvEeR/PF5BW+f+j6diTew017gR+l8de7
L17v8RR/mXPK7S484jwe2v/P5++0ojf7BU9Mr7d+t6vtrgkiayd+QH2PW8dVsfdeyy34HRrcrrnQ
iZ05QQDZOxTcbe53Dw/1PS5JV11Yjz+cAw9tnKax+h5H3qd4ehLfMS7xEz1U889n28/nr+Mw8+/z
3WvjUwdu8+rj6TPG1R3zziU09KGx2zF51j/ym8Y8OzIH1MYXuxP6PW41Vxux/4RpvcNo8yC1+ZB/
x3jZebODAvMe79o/XMan67vN/f5Nb+LzvMNhdZxX5BA9/pCEPMJ2dx7+6Z9PxP/zv6ft/1dXM5ip
ik3aKzGU4MiQTn25uv8619r07PH/o2PNJ6Bqx0x5hxvdn5nPmf8wdaZt4R3m0Syvq46gvsfFTiTj
t56eM87knUWrvsN6mjXkOd6HD62bhkB7h2LdYL1zaL7HQXG5KZrbhJcEti9c4B9II/N3doJJLumt
gzzfpPkdIRhU83J97zADXWJARb4bszNxmd/aDzdPc4RAHgqavqvxDnbLX+GN29fW7K8x2qnnHW5n
7rrYfPi8Efc79saz716/eWTPo5BbX/1/ubuW5bZxLPor3HV31aQSKvEjm66yFdlJy3J7LNlT1TtI
YkuIaEHDh1Pyqn9j1rPKYnaznJ3/pL9kDkghxQtypEQ8E6eySSV2CgCBi4v7OPdcIfGHBNu2N1uv
suo2HBLsz97fc4VKZw1A6XkO40volEOCmPRQXpbIYRlWRi+ba7OS6tpyXbaV6hGu/bm68wyjY0KK
5VyN5SW05Thtl3s+956B3XZDWUOzFdldEwQ0C2m/1u7jv7MomP7w7t7oRNy6kPF49aPlWkhvA+Yh
/2Lj/kKPfasgZDgNF8ghg7TO7arVnjAy3T/3NzGxXm8XbEPztmI2QP3ATKUTD07JeEYQ4zRZJsWB
4jipWH0QOji0XMLtdyL2BiXc4gEe0okfdyPo3oHKoX21BISjPomxDXZkPzYUMp65gXmw+he1GW6Z
xeVgpAcvNUx8MSrjyShGlS9R0b6kraiV7zGal6apysWq6zijL1ds148f86VfIcrINl3DM5HVRuhq
4pa/v2IbRuvJPIrjSFicHUYeawPpqsH7QJTMWDeiNzI0Cyp8wri2kEkFF5HxIma25U1b0Rsi7utD
5xiFGcPcq3UAiqj9akdGemkgA2w/6PDxnyYYmbvHjwUi5Cp5/NdyoiUEEr3b2k8EFLf2UHKI/xDG
VcsHX0F3GIV/N7PaBWfkDxEnWABvE5ypVJhFHUYuDoWQ2rPpO7ZlS9uLguaW8OSXwiQA03/7gX+r
+SDocEcYVt+N1fiDeFrRNKf9wKUOrd9v25+z7Saf6iQYwZgT+S1AYduPfDJeR+LswEiOECy6n4Gp
GzUHgEns1E9PF4ctyz3bRmKr67fPMxCS1R/1AC/+VCUg5nK/cT/c5lICsqcfpNQRhK5r0kwF1x58
nnKv42Co4nsFVKSTMmuF2oarbaX5HAGXCM+r8FXrgP/8i13Vt2Y5tYhrt8TCbGbUM19igxM1y8WK
w62Vxp8ZKrtC9OJODrsbndUknVtkllhfDCz56+8x89FYhXKwW3Se7iQ6NrjjFM++hd6yDOnbKDGa
IaCHikGZOyU8/CdI2o+Vfi8HPnC6Yn+/7CRBcab0fgkREdSRzmI1jdK5W6HVZgyQwWCtLKJZDMtY
8Dz3D43wwJ0idSYNlJeEtSIjNDZTeWYMC36Y6OACBcBCoTOCpbjgMtnJcAnwXM6Cvv1jeHJdFYei
G2bbV/4dCiqWkefXhZaGiDCyPLqQ4fH/olZSNYSMwvP+OgHPnK/OYGC334YSCNI3Xm4JbZraj106
Mw1jE650H1waYD72lEXIuNcXSqZjgSVpvxeA2ihTuyKWSqytIAPaBGyEJ8sM432g4qm+l4FCNPAl
rBhW+9q/04ws7GW0kiFCdCVsv9wrWO2A0jfhjcJjyviLmqmCDq2EhYPmS69WSEcLZ2Z7neNnuhxD
oADVCmrDLbMwLEKCdIzmSvvw3k6H8F6P1Htd32lEKtwn7G+9jZRGuN6NU9pYjBUjlmfNQl/NoaOi
m2v/Nd88jKOG7WDg6m91lMEjdWss9oOh6n5FHaS5D96BijRfBc+DHiAXJss3N7M6HfrhvSAcwGbC
fr5U6Rzhs+eB+6tumvToFSO4OFwB1hSvm/QNyrAZts9AT6dAl/ZUmlU3reT9+t8PErTIZ1XBbnZt
ONcLlHcvsWuf/lrSrFQnRSwAHB87w4O74RZ4rtRa4YBAiP3nH/9IF/Zf58kaOXes4C1gI3fKnZrQ
hyAzOHzJAA2MNKBczwBJkHl49Bp+jYah7qP3v7HDCE7Bwol7+vyNVmYNf0kHf7WMvCLc//roAL1e
CZO+MYupwQaO1AJupJZhJhC4ghGAcHh9letEi/rY8AUockBs337frtSzWD+boPT0WZrmbjyrlTZz
EELgqJiYNYxM0EEXapXNPbOm3Jqdj8DTBZaAdCpZDtsGl6qfYG/O/yWsfpLkY+FtE8xycNJoxHqL
rOepSsZI2VblgxABByYazQZkAJxhgNnVImIvdCSjIsBiAsHXiEi1GJrhIHfVGhVWTS8mw5zpetLB
AEC9MXfId0rCIobx4MZtRvwyvDcQ1vo8uIziO+RzpqCRzSU0gAHReQsGR5GdDBmP8S+QY+/8Qgb/
30AlNhPu47YYmHBbBJVauIuw+sKtZD6fafJdgSAgMzaHKKyQDoMDsGQc7ussSwttehnda6lBGKZ+
OctFPpGRlA5F86GSUk/VtFj+yIzBHCXeAkY5+gi+Yrk/XcilSZuUYYdBkVJu1K0GfwWIoG0hlq3x
KLVCLdTAQM2eWvBlOg9udTLTjUoe5IZuP/e3rm+GW2cgPNho3aw8yHaHkQpHM3YbXXRbULjbDNN/
qKRV1LG9GtqGKxE4yoIeGI0A+MnlNWaQwZTSCRMmmz9+jKO7tVux3ZUDDmIQHzBQmEHWBQPuwohh
lh9QvgLBj2cFT8xP1Y94CdawnQ5L1WzubaAnXye5X3IDtjX7v8GcsiXh8tGcjFp7ZGB+N/GiIZ50
iFpfUMW/RjeU8NXxMcgcd7qTT3fuJW/jd3juycyqPJk4ZQThTpG08QhkGJXdp4l6kBA/Boy3i1SC
CPUz4mVdExu/RIwRJu5N4EtIxBmj88UZHJ/J3Nb3ecViDHDmmUIXdWtMNRBRHxECbOc5ABsiAoHY
l3tW9jeahoi2ItIvRCNkEKTZpBvCJ+L5Do8J6aWrKJEhwN1KdXfs+SbJ/cV2GDfkFpwVD+iuIg4O
1KG7Du7pnoEmot3v8FEom8aAaF3dGXE4DAvzFKx4friQ4OAMrbo1jQ4UA0nSNdbr/LEfAaO8nP3U
pMgY3mABWLEc9zCRrSJumofB4dU1xtlkwkthEHmd6ffaXWHrlzBQCmfgKbIdKVzDpII7Rk+SOnzq
mCBLm7cQRFzrGjyLgWjejF8giOxh25fxE8u7RcdNxaEwHgYEIEXGus4Qnn85ljwCJ9VGQotvGEze
IAgQu5+JjwDVshOK/R/kPtJoY7jWbqQiy8Wor+rOE+AQELvffI6cgLDyy+hD0FVxAyERg6XpUnuF
sAz2hFu1RBWCNCcYMZJLFBzLURl31m7wbxGy5B513vFLd5b7i92VziaIbTU+LuCnJ0ygVkim2U+o
82uEnCRx7JcHE4Qaj1SK5G0zeIxRrVKGi95GMZIyfwlOUgRlU5Qjl5Fme2ORFgMAAg3P58JOQduA
9ocyMgvYpkJSOwxTYgRIo1wtA446ykES6C2WIJl/w/HqMvJ+lmdACrl9LeKwjFxhzcjsMCAXXYsN
tFkbd2mr6z5AkPHoCH0K0IAYMIxXaLXtfr2/kripNnRE38ilSYJfc0CdYC82mnFHFl7ywrZCRhQM
nTt2E+k8oePT0PujreNT/Rq77dvBD9X/7WK+7KZFTY1Hvu5Xls64jUd96mDrFrCtcvI8MsgeibvJ
wO5e56kHZO4wksujx/+ginsduTtXqJLdfQiaJODrRP2bOsS4YynOaiO+W+L6tdZV1a/5NqS/qWPM
9/eVTQ1qvrGvrIpGg6rb6MlJDPfr5/8CAAD//w==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_xlchart.v2.11</cx:f>
      </cx:strDim>
      <cx:numDim type="val">
        <cx:f>_xlchart.v2.12</cx:f>
      </cx:numDim>
    </cx:data>
    <cx:data id="1">
      <cx:strDim type="cat">
        <cx:f>_xlchart.v2.11</cx:f>
      </cx:strDim>
      <cx:numDim type="val">
        <cx:f>_xlchart.v2.13</cx:f>
      </cx:numDim>
    </cx:data>
  </cx:chartData>
  <cx:chart>
    <cx:title pos="t" align="ctr" overlay="0">
      <cx:tx>
        <cx:rich>
          <a:bodyPr spcFirstLastPara="1" vertOverflow="ellipsis" horzOverflow="overflow" wrap="square" lIns="0" tIns="0" rIns="0" bIns="0" anchor="ctr" anchorCtr="1"/>
          <a:lstStyle/>
          <a:p>
            <a:pPr rtl="0">
              <a:defRPr sz="400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4000" b="1" i="0" baseline="0">
                <a:solidFill>
                  <a:sysClr val="windowText" lastClr="000000"/>
                </a:solidFill>
                <a:effectLst/>
                <a:latin typeface="Times New Roman" panose="02020603050405020304" pitchFamily="18" charset="0"/>
                <a:cs typeface="Times New Roman" panose="02020603050405020304" pitchFamily="18" charset="0"/>
              </a:rPr>
              <a:t>Customer Satisfiction Score</a:t>
            </a:r>
            <a:endParaRPr lang="en-US" sz="4000">
              <a:solidFill>
                <a:sysClr val="windowText" lastClr="000000"/>
              </a:solidFill>
              <a:effectLst/>
              <a:latin typeface="Times New Roman" panose="02020603050405020304" pitchFamily="18" charset="0"/>
              <a:cs typeface="Times New Roman" panose="02020603050405020304" pitchFamily="18" charset="0"/>
            </a:endParaRPr>
          </a:p>
        </cx:rich>
      </cx:tx>
    </cx:title>
    <cx:plotArea>
      <cx:plotAreaRegion>
        <cx:series layoutId="funnel" uniqueId="{7BB1B5CB-C282-4AD1-AEDC-7A01EBA6054E}" formatIdx="0">
          <cx:spPr>
            <a:solidFill>
              <a:srgbClr val="002060"/>
            </a:solidFill>
          </cx:spPr>
          <cx:dataLabels>
            <cx:txPr>
              <a:bodyPr spcFirstLastPara="1" vertOverflow="ellipsis" horzOverflow="overflow" wrap="square" lIns="0" tIns="0" rIns="0" bIns="0" anchor="ctr" anchorCtr="1"/>
              <a:lstStyle/>
              <a:p>
                <a:pPr algn="ctr" rtl="0">
                  <a:defRPr sz="1400" b="1">
                    <a:solidFill>
                      <a:schemeClr val="bg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b="1" i="0" u="none" strike="noStrike" baseline="0">
                  <a:solidFill>
                    <a:schemeClr val="bg1"/>
                  </a:solidFill>
                  <a:latin typeface="Times New Roman" panose="02020603050405020304" pitchFamily="18" charset="0"/>
                  <a:cs typeface="Times New Roman" panose="02020603050405020304" pitchFamily="18" charset="0"/>
                </a:endParaRPr>
              </a:p>
            </cx:txPr>
            <cx:visibility seriesName="0" categoryName="0" value="1"/>
          </cx:dataLabels>
          <cx:dataId val="0"/>
        </cx:series>
        <cx:series layoutId="funnel" hidden="1" uniqueId="{B8963CC1-C9C8-49D6-A1EF-91975120A57E}" formatIdx="1">
          <cx:dataLabels>
            <cx:visibility seriesName="0" categoryName="0" value="1"/>
          </cx:dataLabels>
          <cx:dataId val="1"/>
        </cx:series>
      </cx:plotAreaRegion>
      <cx:axis id="0">
        <cx:catScaling gapWidth="0.0599999987"/>
        <cx:tickLabels/>
        <cx:txPr>
          <a:bodyPr spcFirstLastPara="1" vertOverflow="ellipsis" horzOverflow="overflow" wrap="square" lIns="0" tIns="0" rIns="0" bIns="0" anchor="ctr" anchorCtr="1"/>
          <a:lstStyle/>
          <a:p>
            <a:pPr algn="ctr" rtl="0">
              <a:defRPr sz="1400" b="1">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b="1" i="0" u="none" strike="noStrike" baseline="0">
              <a:solidFill>
                <a:sysClr val="windowText" lastClr="000000"/>
              </a:solidFill>
              <a:latin typeface="Times New Roman" panose="02020603050405020304" pitchFamily="18" charset="0"/>
              <a:cs typeface="Times New Roman" panose="02020603050405020304" pitchFamily="18" charset="0"/>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umDim>
    </cx:data>
  </cx:chartData>
  <cx:chart>
    <cx:title pos="t" align="ctr" overlay="0">
      <cx:tx>
        <cx:txData>
          <cx:v>Sales by country</cx:v>
        </cx:txData>
      </cx:tx>
      <cx:txPr>
        <a:bodyPr spcFirstLastPara="1" vertOverflow="ellipsis" horzOverflow="overflow" wrap="square" lIns="0" tIns="0" rIns="0" bIns="0" anchor="ctr" anchorCtr="1"/>
        <a:lstStyle/>
        <a:p>
          <a:pPr algn="ctr" rtl="0">
            <a:defRPr/>
          </a:pPr>
          <a:r>
            <a:rPr lang="en-US" sz="4000" b="1" i="0" u="none" strike="noStrike" baseline="0">
              <a:solidFill>
                <a:schemeClr val="tx1"/>
              </a:solidFill>
              <a:latin typeface="Times New Roman" panose="02020603050405020304" pitchFamily="18" charset="0"/>
              <a:cs typeface="Times New Roman" panose="02020603050405020304" pitchFamily="18" charset="0"/>
            </a:rPr>
            <a:t>Sales by country</a:t>
          </a:r>
        </a:p>
      </cx:txPr>
    </cx:title>
    <cx:plotArea>
      <cx:plotAreaRegion>
        <cx:plotSurface>
          <cx:spPr>
            <a:noFill/>
            <a:ln>
              <a:noFill/>
            </a:ln>
          </cx:spPr>
        </cx:plotSurface>
        <cx:series layoutId="regionMap" uniqueId="{0F4C2769-58F4-4587-AEF0-4A67E1A1B17D}">
          <cx:tx>
            <cx:txData>
              <cx:f>_xlchart.v5.9</cx:f>
              <cx:v> Sales</cx:v>
            </cx:txData>
          </cx:tx>
          <cx:dataLabels>
            <cx:txPr>
              <a:bodyPr spcFirstLastPara="1" vertOverflow="ellipsis" horzOverflow="overflow" wrap="square" lIns="0" tIns="0" rIns="0" bIns="0" anchor="ctr" anchorCtr="1"/>
              <a:lstStyle/>
              <a:p>
                <a:pPr algn="ctr" rtl="0">
                  <a:defRPr sz="1400" b="1">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b="1" i="0" u="none" strike="noStrike" baseline="0">
                  <a:solidFill>
                    <a:sysClr val="windowText" lastClr="000000"/>
                  </a:solidFill>
                  <a:latin typeface="Times New Roman" panose="02020603050405020304" pitchFamily="18" charset="0"/>
                  <a:cs typeface="Times New Roman" panose="02020603050405020304" pitchFamily="18" charset="0"/>
                </a:endParaRPr>
              </a:p>
            </cx:txPr>
            <cx:visibility seriesName="0" categoryName="0" value="1"/>
          </cx:dataLabels>
          <cx:dataId val="0"/>
          <cx:layoutPr>
            <cx:geography cultureLanguage="en-US" cultureRegion="US" attribution="Powered by Bing">
              <cx:geoCache provider="{E9337A44-BEBE-4D9F-B70C-5C5E7DAFC167}">
                <cx:binary>zHxrj924kfZfGcznVx6KdwXJAiudS19tt++eL0K73RZFkaIupETp12/1OJO1lUmcCAH2bQxgTJ9W
HapYT1Wx+FT9+SH+6cE83g8/RWva8U8P8S8/K++7P/3yy/igHu39+MzWD4Mb3Rf/7MHZX9yXL/XD
4y+fh/u5bqtfMErpLw/qfvCP8ef/+jNIqx7djXu497Vr78LjsLx6HIPx4z/57A8/+unBhdY/PV6B
pL/8/N9D9dj6ur3/+aenf/3yZuke//Lzd3/180+/bGX93ff+ZGBpPnyGZxNCn2UZp5lMUfbbj/j5
J+Pa6vfPOXzOBZYs5ei3H/L7lz+/tyDgX1rTbyu6//x5eBzHn/7673ePfvcK331Sj674qoXCPS34
v1/99oa/fK/l//rz5hfwzpvffLMRWwX96KPtPhTOOPup/g9uA332pP2UZ6Ddb7Uv8LMMSZkSKr9q
n3+v/X9lJX+s/P99cqP7//1gq/rixf+96vPhfq3N70r4D9h/ip6R334Q/l71jDzDv+lc/NXw4fOv
qPtq+D9eyR8r/vfnNmr//ddbpef/H9j78SHcf3bD7+//n9A6KD0TnAv6vdJF9oxwzrMMf9U9Sn//
0q9K/xdW8sda/9uDG7X/7fdbvR+L/3tjf/k4hN/f/z+gdP5MgmZ5JulXX4K2ymfPEGWSYc6+hgL4
/FuL/9Fy/ljzX5/aqP3rL7c6f3n8T+j8H/v9vwXCw72/P/4WQb9x/f/8099eDuL65tF/Foi/6u7y
819+TsGM/xaWnyR8p9e/C6G/P/J4P3oI0eCJOIXwLBHGlKOMyJ9/mh9/+0iQZ4xJCvtKJBWccXBS
rRu8gsdw+kzIDPY6RUggiB/w2OjCb58x2GomBM+EYCRDHLO/JS4vnVkq1/5NG3/9/5/aYF+6uvXj
X34Gu+i+/tXTSuGLqKACZQLB7x/uX0FOBH+U/j/aB1e6UpljZcL7NVs+leHdN4r41yXz7HvJhlXI
0wCSUy5yXcd8HWS+TzRo5dtF1+viaR9Jc1wy8RKR5KVJSbJTNuRS38rugsBt2ZTNEc1kvXUMx6Jc
DD/sWznkAt9KL9NUjKaWzTGdTsixoqqHr4D6miv9G+pm30t2Gum4yLQ5rrGdrtYWhYNpluz1vnU/
mc83ZoLLYZ1b4cyxmwdR1FSvB57Q9/uEQwL1rXCxKDFTHptjsA2/qFp/P6NG7tQLoOtb4asca9oL
ZI5k7POyWm/qobrYt27wEN+KZm2M0iNvjiY7Z+O9qXciZ4NJ2LauyyhrjmM14ucja8MD0TWKX8Pd
v2spbAPMUk5C6jqYY1jIJRxd3jRM7BS9Aabo537mpjVHLUO8djqkt6VMnu9SN9sgk3lBw7CAWhR+
6Luq4BXbh3m2RSXnZRQaw0bqNuedNDlNrNkpfAPMehqbkTrRHOuuf1HiqbpgXUSnfTrZ4BIR6box
7cxxWBbzsA62uhw1zi73Sd8AkxraRDeN5sg+rF1Bup0a2UCyhPRlqTWInceuzYe01wVd0314ZxtQ
tkTyXrRgJVXU56GacW6nuHflG2ROTeq7vh7McRLVmJtYl8UsQ79P3XQDTNWacq1mCA4yM+BQZF1A
8j3sUzrdQHO1dp2rcTVHUdX2QBlv80V4v3PpG2xyHIJdHUjv9M0Y3rjuapcF0g0yKaatXpPFHGs8
3drS6Hxou69n3H/XD9INMDlZFcpWqo+SkkvXWHuvHCO/7lv4Bpg9l+MYZ6KPmvPm14GjscmzcWj3
4Z5ukLlaVPc15fpYjvVpnR29WNIknvetfYNP45aQVggUg41xh5K1zcXE/c4YQTcA1SlFvtW2PAxD
lyM6F3j6vG/dG3RCCazXqvb6OAY65izQz6Sc9sGHbLDZ+lUnRsn6KDt0sLH7VaV63il7A820ZKJf
Sa+PKeY0r4fxwgrbHXYphWyQ6Sfhl2GAhTdzdWUJ07nRzd0+2Rt0TlK1FjNYuAaxiLRvR2tf7hO9
AWcbichkC6IH4cWlJ+IKDVHsQw/ZgLMxi6LDCMKt0jljh4HuXPUGlnGk42Ahnh0XMxcKg/PmQqc7
zWQDy1G7YUFcgZn0CS1GheiRZ8vbffreoNKUSdc2weoj14aac5lmC/so3Oy6fdkb2YBTCOc75Y0+
qtUXMnmvBrJvN/EGmotIQiwJSHbJcuWrLs3tuL7ZpRa8gWbHlA6TWNVR2/lTkoSbknX9vmQZb5Dp
kAgxKqKOE4n8lUbxLWUVvtm38A00y7ava5KF+lil6rZNPJx70Dzui8pQefju4JNhnyBaWwWnwceh
upTtxb5Fb3A5EmX6qQK55YwKlCWHGJp95oc3yGy9gSNl2qjj3B5nbfJM7kys8AaWuKKpXnqjjqiW
8UDa9iMcaNU+zOMNLMuugWV7po61b9qjTMYsd3bYlwDhDSTbBOpUdQrCu/pjprqjUmhfOphuIJmg
TuuKUAXWF2U+dGkG5YLU7bPtdANKpBHrZgnSy6q7AQDdYe/wPoWnG1D6Ya6SkAAoY3UPQbnJy9Ds
3Mx0g0kj63QO9slSDHZHWfl3Y5XJfdhJN5icp9piXIFw4Vmu2Rm7nalPukFlYBjODguYyax9wTI0
54E3ep8TTDe4TKEw6dUE+rayR7m2DhdVlsw77XCDTa1jopcEqyNeJpujudJFF+tpX578VCH+rv4z
TWGKEqQ7ND83zfzYrwnfaYcbbOpyKCeswBUOiaR5RumxWcdyn9LRBp60kvPUK66OvMf6ANfKvkht
r3bBU2YbpfuMV95bDxDqynAum6UvyJxV+xTzVBH/Vul4qEKFFlCMTLpi7V7y7sOu4IM2yB+sXH1V
CXUkdaJzPWfT3TRLuVP6BvvJjDvdKAc+a1lzZcq8kvuScLQBfuXmdm56kKx7fViGC7OuO1W9Af6w
lNncZyDZJk7linyKAepj+7S9wb0QaDHJU9Rs5iE9qIW1RYj2dp/wjQV2vSTGuRGAGbKYT+t0mDK5
M0I8XW9+a4BqNNyqpAfh/qZeznbal1ShDeIFhnufaQ3q6N1y0xlzu07HPeqQ2QbuaJBrlBkA0pk8
rfJxV/ogsw0SWzqHUY0D5CYyXvLUX5NSHfateIPFrPetVGoCLK78ys63ZKmv90ne4NAsBM2RQjDr
ldavFBnftqFtdnq+DRSjHapGRNhCZ+jrQd52fbnLfcCV4PdGFykRfqAQJunypgrHVu0yOvnEXfnW
mFNDk2EYAYYpTR+WdM3XlexLjGW2AYqtTDOi+GR2LhmOK3blQYZkVwiT2QYtxAqyuL4F4VXb3QvZ
pTeKrcm4yz1JuYGMyfgw6QzEh36V+aTi2VcJ2bd2uQFOV3kkewf5K2uG/v1ausBPRAQW99m43KCn
QqhJdNVB7mD0XZPGXMvlYhd85AY+bhLKTCNYuLXphTJLW9S22Vddl3IDH9fzSQzzE3zsWdDlxRK7
XQFByg18Fk1YTTHAh7TyomnX/oxI1Kd9OtlgqLGNHjkBP7h43C0nUa3LmAsd4k5j5Jv9ROBU+rh2
/ORDDHcs6eOFUSK+3LV8vtnSGpyCYLTlpzlIXujJyw+WhrBP83yzp4NdVWyC4ad2wfoiaRR5OfXe
78p9JN/sq7A289hrfnINdnmLGns7Y5bsxNEmjRiQXeB0DBs7JHS9bkz4rHtMX+1Su9x4x9CtHcEz
Ao+evmFizNO4j2Mg5cY1htLgmT7FCqyyQpFyLHhm0T7HKDaOUfSuTmIE4WZ2F6q+XZP6vEshYuMV
jcQeSsgQLho5vjQySU9cLWJfQiE2EBLLmuKyDeI4ZX66CQi1Nz3c4e1LsMQGQhx1VWP9yk+1HqrD
MNH2cpl7tlP6BkJNm2oI0p6fqqmz52zw62Xpq2Wn2rcQEp2Pqa8hApXzVBBRLUfFddy59q1vTOS6
zNnAT002houhWtNThPLKvkAqNgBFpU2yoe35SYbOPs9YtR7Mov3OtW8Q2rKyXsqy4ifVTChnZDTn
RKU/Mvcn2/h74pXcEq9aSDBaloDrstrpB7HG9aUeyZq7vtentKv5Tge8ASxvVPQdEuwkyiG9hqwJ
5WVdlftwxTegdYvCcV4cvEXG27ue9uSyMVmzz9nwjfUkbUJ6JCA0WR2kyzver7fIs2Rn9Niaz1jS
ZElAvMSpO/WJTA9WVvtIapJvzEeki5S8hqg99+quT6K96SY57zt78Y2PNwQqh7qCsNrUtr4iI4sX
JeI7E44tQ4ih1GZtBbhiNPZvmGvxF+VqsW9X2cZm6qmq+1iBYqIP9lAi4S4CZH37gvaWJZShkQj3
hForF3+Ks+P5wFe+z1tumUKWLI1Vc8lOVQjqHKWhx0mi5nJXCGQbT0+Br6cHCp7e6wafxon440jt
ToNkG09fz1CQDyqBtbM+Hjya7XXgbB9pTbINVnnT96MWFmyGTfgC0gJZrHhp9uXYbAPVuPZ8lAEB
mOoxvFCsqg4rSd0+T7/lDFlKJBCdZn4a5vZVnzB6FVrK9x2Z2AaqoWnaDs8TPyHvPjdjl10Sr90+
4VvKUGWlUWiV7BQM44eKNOGskmQfFxY4yt9XB0jo67XhkZ+WFqlfe2rIWYuu3nUlB9zn76U3VA/E
WMJPqZfJ2ZZUXCULCftuW+SWOtSqJOs0HeFs0IelKCVZciOi3QfVLXmo5H4xaZuxE9YWFbZdeCFX
Xe5zM3QD1ansOk0wQJU2NnldAtH0kHYys/s88JY9JEWgcSJgkgNcbV/rto4FsnHal5XRDVaxybyN
DaCprzHPkW3qUyIV/YHFP/nCP8ibtvQhqXHtLPQ/nIIaxzyO/XjdsDhdNq6X+5IaukFsFMquZQeu
jKZ4+dClaLjLbLbUP9D+P3iDLZWoplTAzTy8wZC59vlQmraAIhYYfy+6+IPveDKUP9DSU7vBt3U9
1XEJRsPZiXSRX2YqqT5AGJ8fdsWpLaeoneo2hf/YictQX3RpLc6jT3cWf8nmNGWFrnEyUXZaV6nP
caD2lE283BdJyCbG4goWDmGPnWRVCziMlOIMvACzrwK8ZRYZ1gQ46IDpKJrwIx1xfQQyN96HLLKJ
sUyhpPd0ZaeFq/nYtstckKbPdkrf4JYhqfi4wkkwGSt74eqhzFfWrfuSbbJJh9VTH4uojTgtDHwl
sBXlhZBy31WV3LKLUl/OdaUh60Pedp9jN/LruWqXN7vsfcsw8qwpp7SDrM8TjI84mbOLwddiX8a6
5RhNqAdIJ5Btaz8t5pBoMTx2lcP7GIByyzOKgg8zW0D+uCyY5nIV4lxONNnpa/AGrzHpmraVgFeg
Y/j3Eo31zWrc9AN//5QN/IEn23KNgEU71fzJKkfSTFVh4I6syDKXvbCkJoeyGdc8wGVitQ8EeBt5
4YZCY9GIE4EL28NIh+65m1P9cp8hbQAMh7ZVtiUUiirT9znWVBVpCnf7+6RvAMzjzCPqIElegJDw
FqL6kANzg77eJ30DYAYGs9AI+dSI5uka7v38aR38Pnqg3HKR4PZoaGLF+IkDQyYtWmjl7wvwQaTc
d9O1pSSlcC1uKnA9p97i9V2QJf0yZHJnEX1LSWpaMk8TE3A+mWJ8PbU0fUHHyvwAA/8gmm9JSRY7
3IhEgupx6l9OyZIWwhq3LyJuaUkSsUQl7ShOmZ9deVnK1L32YKjJPrPcMpMS6O7qELbZiQ0hy0to
gDslC+Q7u8xyy07SPQ2Sdi47jaMmz62x6CYbG/Fhn/QNYGnDZKuUzE5yhIa6JIjsbTV0877aXLoB
7IigJTINJDsJ2uvLblE2r7o47XM2W3pSW7o1yIRnp3JtgPzEiH1QFXGP+zSzSZIX6DnIpoBB7zxZ
3gEhzNtcA3nz1S7xW4oSF6rJarFkp6TBvT+w1fCmyMps2VdA29KIGGrHqKQrTwtcDdy6xmc5QgPZ
Z/JbLhEjYfa4bcuTYWk892guD45pf9inm03AdTXLHIW+4RNpfJIHi5KLzptsp+bZ90eHeiS1gW7l
8uk+0FzPXpEroI/4fXB96l//9mBiDbSsVc1QnlQHuTFHlDz3baD72GESbfBaqzKzUk3lqXcIHROS
6HvbWv9pn+I3eB3IuFQBt8mpnoFOyCeNT2yCe7B90jcBVsTMlVCwSE4qs+lbTpw5dLMaP++TvsHr
2jUEQXKcnEq7xGOQaXmefZLu2laxpRjZNhn0mJnyVI3GFMmwNC8FacjDnrVD48f3RrNE18Sny56T
IQbfqjTp38AR3RT7pG/qUCtS1vOwJKepn+IHHKvmqhRo3VUoEtkGrFToDjehK0/tuuLT3OnndWnd
rjqRyDZYLe2c9qOby5NgSXdMl1jmcVVqlxcTW9JROfG2S5opOdGJdUfg/OvzjId99CCxpR7hkoSK
rSw5+dZU62Vvuv41KXm3zweLLQ21sh5u7CqSnFLRECB8zHOXFjjUaBegxJbepAWRaU9h/RZ5foAS
cvme0LreCagNXBsW2jgqcDVhGfprtSz6klbxR4eqJ2/794cqCBXfAwriNBaLZOCFl2AuMfTLvWv4
bH90Inyy7T8Sv8Fr18FJbXFzcpIqsKooQ0Rn6HILp6ZXTZ1zx8W6D7xbrhOQjaWxNCanZRRz7iqC
ocHIjTulb8BbO45MXa3gkkkkV4hWNB/gjL4r/RNbvlMNXKossVV1Hmc20ytEGH/roDAynHY5ti3r
SWVu8VGi/uxDWp4YYfOF7sad3kGS723IJ5g6K9x4dk1lDmGZmjZfXb1+2bf4Taylgak6heb2s8ji
cPCKjQerGr3PtW3ZN1otCa+xTc40QHapnJnPvWb7OrvEloFTqiwpE8LKM1vaScE5P+GPdBqqXQUj
seXgIGg6UGPjq4sGJ6g9dC1ci/NmiDutfsvEmcbeuVLCmAzRUZRPeAo3vmuqfVa5peKsMFSqpggP
F2PwNDl0pupgmIiy+1qjYUDO93bZhJbYJsj+Ym7YUHQSdrWFeSX7DEdsIm7PJEdlU7GLTsPUD+AP
dHcN8fOu8rF4Gq31bXbsmjCDXcbkou6798vM2kcj5vHjLkSJDWAHOenZ1ra7nAg1v7JUd5873/6I
vMl/u7f7A6+/ZeM0AeGF4tBdqsWT6ppBtahMz8ITwtqbBauQZNDgM2p03Ukn6G0zz4k845Qs5eOM
CXq6oGv1UKscja4LOlfJmvjbhIp2aoukWYg4CZ4o/alv58XmAqO4kDxZLMdXyoWmswVZywyddD2R
5lMSSQd9YSvlc/pRPD0SIYGs+/UVj8tgrtoyq+2tUEK3V6ySXfUxtKEPdd65MQ6vUd8H0xXN4j3V
ObxEWX1K8JxWZd4g7PTnZE78vBYxC7F6Wy5q7qec0kSB0bllKF+4lOp4Y31c+VCM6ST9IaW2KV91
EwypuHVwb7smBw2cUf1K9KFJp3yOFYrisHQLG96ZYTDqDF0BbXeZySBZXvnJTu4wIWMsvL8Ka3+5
DjQDWj9KVP8Bd4a0z6VLs74u5oFyf+OyCfe2mOco5WdLu7R/LhTr0QfrzYTRYUptDacvB6NsxFC0
WFUVvKyXzRIuJ5DZ94exlzT9tBrEVJ/Pstd1VywklsjmwFnGwuUZhlRxgNJOOXXHqpxL91wvrWd3
Q8VGkCBZkmCWG4YzthwrIA+wF3psG/08w+tkLjI4m3TwQiV1y8mPKZw7Vylrc6ej7WZ8gADv1rNi
Cxtvx0BMb/I6AZ7B6zVj2JvCw5y6qs9ZXKvuQqGUJR8t8cvY5jWw24TKp2jb6KAGEtk851528xgO
wKsjw1xAS95CyPWizQRlNZQufs3L2AqmzzBVylRj0a9jwuAypJUlr4uUZLS7n8g4z29DjaV625es
nwaYDADzbuqCchxhWEJCKqIueXCM/1qP2OgvHolk1Scgkq+4zSeewGMFV5OOFzrCW6XnxZajSXIN
0xFSlKetgO89thnQtQATswvyCxorRXRe676E3sRehjb5kKw+MF0MaiXrQwqzVZLPFAljD9Dn4PtC
6S6zR9LNfWyv26V5ApjoveqP0E/usnhQrZuyeE1rR9LhpJHgvj0mmfIEFSwQVbYHIWs7P2KoN4RX
0lZLPR688yUvmlB95HFw4qhHL/scDQjMfOhF7R/SEXT0udcj7ipQnk2Xqxa1VtxAE/uIX8ke7jvT
HM6N5s5yXl/NaYNeZjgz9LObJ9cUMOJrfcDrqA+ELgLG/qTV+oY26Vx9rjgn9FyJTIk1r0hUfXkb
jfPNzeybhc6hiLTMmupDUGBUzS1dVYbrK5hmE2tTzE02qPcjeAfqjoOOolYHXPLZXRldLVN/AEpe
pfsDNQuf3/MEjetjTIape8vHLBE69wqKyCgPhPr1TqUlhOODgciQtoWZRaPXHLxHEvvcIbhm7E4T
3OMP+EKgCSZcnaHVkY9lbmHqUP8F2re6Zc4rmMjiO6CQw2AWmXu6SDzlImjdf4SBbsBeOEVI5kxW
wAShZnL52GahyvI1oT0CtS8w4uoDA1eavRpwO/OPZEl8hfNssgOFtc3TTL8YPxB3V6tR9h+isy61
OY20C89LpHG8n6tJGxjVtqCuPpuSTQNMoOo7mBSVo6BsnZ7migugCTTLQBp800wpmtLc0LYn02GQ
JQEegcHJmH6IYV7QUdCG0y8hgUOYuRxdlTlzEg0U+k8pwuPwvJ90aF3e1HFaTwwuQsRrBZMZ0CfY
1jCXuYyS1TaH0DBnL0PrsQC2lQNOCjwj2jh/0sQNFVizjigd8qRqIw7npu980sNEoY5XL7giSX/A
nq3oEtXUQ7wQfJJVnvRz+XlpzKTuGmHm8MKVPcNn0E1FH4ykNoUeQMlk9RYCfdBNbmRjqylXo23n
S9nTtY/Aq5YzqnK4H4I78MLTqcVzIYIJ1Vuapc5foAGP84fRzLRNip7VqpmPxsfez0U3RzTdhR78
zO2olXkazIPqtEghnWwOlVkzafPRufROKOpD3pqlxjrv6BzN+6QMfHV3kNtrsxwGlnHdXS+iW8Vx
TscuXsNNX8JQjnE7hjPQhlO65CXUxozMLXKL/cRMpDXL20zNUJxU/UA7nQcFE4EamM5QqRdahAFc
dllGeg/Dx0xrD+ukfTrn0HszdDxvMch4P0qRjS9s02jXnhXSqpHnNp0GiY5plSb1NXYtGpcXs5wa
3BbZuOBqvSXrCnuV96k3AxAI/IJKdHA4sdoeWg6b2xZ993S4zv1Kku6u83IE2EHv5IL74zpDka/N
/cCqVr4w/Vx9LBPHICWIg8fxMYV3X8tcEKynz3SeMyClxTFt59wksfUXFMuZFFWCyrnPYZbgLF+h
kELvQJWN9ZTlzCxwpP9Sl+u09KcObo6yt+ABEa7zidZZckKYh8DPA++mRudtq/DyaenXbrgucbOg
K92LdX7TmnWcbilanEeF75uaEcgtVnACTd4BHlf1Ns4jGEiBRy/SoSCMwDjqYonYxnfg1XXyaxCL
wFWusQWeQqUzoh51ZtrhzSADcdWZOqJkWvSG99kNQ72seBGCa6axqNPO1RdLG2uUHbIpbbsp7xPw
Tq/mREzgkintafuS8JmHyzKLnt+tqEFTBTNLarbqAntftWMxgE5knqQVAZYHpKRhLhpVOWgrEikm
5nXWOgjluWOK+V+TOE/VY6dLOnbQj2HnsOQT3Mbrj1nTwaSYPJmNJu/TKdNE5f3g4ACTlzKsicuj
ghlS6XFc264BvC2QELJ8MnTR14xPA381wTtnr+uV9cbDTuC0hyIs7+sWyl+Sgzy+Vk13JWnJ9Duz
BtY+CFx3eMlpS2La5yYbUv5QswrCQI5rbur31VKVQwXduAnkPnnsWNlf2lHpss4pAXbzu9H0NWry
ekIqAQVy78G0yqUW1ZnVkMfiooaxnRr84MSSFPoLYAZMgAxqgGNxXlvTlZdKhRE02CwxvYGcg8p3
xIBvPHVr+jRGrF1hRNyHxZGmOcUez0OT09GS8qNdMzfewVIYOLkyGDtez8iN+CW3VCZ5Bsy8NBe2
Da5IssanptAwe6985Uoah8s0GoNPK4X9gYR7ctlbL1QcoClxrJaP5SqGJuSLSoj1eaqQo7fJCpi4
Q4sG8lne9dnauLyuODM1uFjjM3j9xVWaQdSYWttCSkJr2hxJNlbicWxgOlqXd4hl8PdWwwXrBbMQ
pd6vSynEVdTSsQ9VCv7kYXWgsLtm8Gx6oZwl0/MIxBZ1BVQoAe12cHye5ZVvx8F/Sbu1nY4IJpey
kE8hVe6inIgOH5oOxm68JkBKVK+mOSHB5Q5aiZd3TT02/QXcx6o5zSXiwr0bENyZfl6tTNv0SIYp
8jnHcEk4v2myHkNCP1Vzxy6XXs+1uLCVNtAaWqsk2Dwtu8Ae09BoBvG1qey7GZwI6AcqcjUDHcSk
hF0APPf9dVytWe8RkPfuFjhqsRsRkv8h7cu25LaxbH+lP+CyFgACIPFyH0hGBCNHSU7Jkl+4bFnm
PAGcv743066uTGY42OkuV3mVLVtIgMAZ995Hg4Dc9eTDVPcgP9ipTtXnNE2zofSRIWlxb+Uqz78x
qEtljzmKEOyoM7zDX2PT4k36uYiUADuIKhscSsp/DFFtqY8zFAImJE+jRURYEQj1nNGEdrunumBd
8tustIvtw9Tn86MzVkWJ11bMXXUfW3PWeyxOxuqrPSGM9JpGOuScNXHT3mmSTPZp6NM8fxKiScrc
G/KZlWHR8LqFFTD2lx5orOaxj4YhP5mss6zWG0jlWk9J08bsR150Y3+C52snrwKAjnpwiw5uJc2Y
CUg3ZORO8z5SX6qmKjhstiuagKa923yeKo56JE55wSMwi9OB1dVLhGQfLTN2KD33eVRlh0G0Vh4M
7tA5n6zYTOxGDzF3wmwZiwJcsEkVD3ax5EvslQusz9Ok5kn4daX7Gt4mjoy3yMz0t4SMifwEHb9y
yP2ocoouPrjU7fknlOGEOWbTkMMSjhxKbke+OIKcGlO6zoE0ZohNABIxHw8QakiqOwSfznDjuDGV
h9L0cXzMbLzQm3KpZHQQfMmQ7Dopbe+iISerGGlfp/ltWvKxABaEjnl3JnPXuwFDvls8DABfmXOf
LOixygRq9rHX4yeUoQPlf/kwCde170qClkggpJU1+GFBQ3I8O3YXchtpmdffY1m65mvv0JY+0gJR
NBI4UGXkY9yYXB+06fRwJ0cmmzOP2g42n/YDOadc0+kODFIoUHgy67j6Ja/TZjq66TJUTzleMYQX
soW2J20jqXmUg+ENQis3c5IBFSOmyvsir9jyMEgcdFX4vTURlp3FHHNrCQDnS6vUj6zZUVDdZNKy
vX9W5Ng00UTZUqvOeHye4BGh3lLWLVAw6Bv/8s9+/01dvmUR3tWgk3MxkfYW7XXykFf1PyMAQNv5
df2HlV3vIE5azqJOjDca2j7NbhN9/Ec/+5as44hFt5Vdj+dWpvSGJUX28xox7zS6nhFZF+o/W5pq
PFIdz3Oan4u6SJrswOUCvUbKdXQWwCKBQgUxxzjoJLNw7ecSOEYCge8fqcqRa2V1LB5SXKQOBVOE
Xsvk80bp2bO4nm04Ihc0uID3pYt/wDQ8jk6srVXjZXnDHK8ogHG9t5RTmZt4SGmCa23QEyPLXOwp
ua4VxEsb3FQWAZaeuzibxrNykD4cB626KTQRHf+oSUfzIIeIyl4v+G86NFve7NTmtjWY2ZwH6N5Z
N0VaK0sEdkpJHah6QRnGE9HCRYBqguX2fsIV6meAyFFLoCS2kNmDxxjNgYrO0sepiIwOVWkzcSeH
yMr9pgJzqz/wLrdUj4KAxliVh5QVEgEZBqv0bge1ZGMa/QjA4Ng/QMwlQfJgEre9WfFltRU4UY6s
+pBmVp+LQzHVmRMwncwjLCbsDjvlMmbTaYg1HZ9KzGahllfIoUwmLyoiCHIhm0X+Pp9aW1AUYtol
NolPormtAzZCdehQxtZkhhvuTmp4KF0ZQw8sH81YpcHzk/hLR/7Dn1/vTz3073Uz6zRO/prl8j9/
+f/v/z0g5nnsyH/+/joN5j9/9Tj80F2vf/zX/a+N+a9jX/3+PCNm+++sK//Pv4SF//pJVuH4V3/x
RsL+b0Tq/xw/8ze/+L9TsF8ZEH+vYO8nafHj38MCVk349R//S71eyn9xCtEJYdP1tf8lXA85+39x
TJ3h3JboTdGVDPVv4Xrq/Au/YjsutOmlZPhHXwjXy39hEg2EoijFGANA/ez3CNevj+4/jxElFRCc
Ed1LyZkjmb3FxtlOYWcWnZZbihYRipBuLYuPnXaL6DOrUOP4nMRZvYP/eIZOvVyUEU4dKqVwbNQs
5ZZbkk4iLqO4cG8c7zH2Pv189/DTxz3S42rrr62xgSWoeeCNFLl7k3tff3mKvbvI2+ktP4trXVti
06edZVO2i8IS5vDx6/3Thyz4sPjfiLe3Fbp6xWsLbfxay3UB2DcWulUeDZ6SAJtBpr/TpX1GWV5Z
Zku1ilhCSVbjs+TRGDT1ySlRN1mSo2QNugXaj+wygOCacn6iKC+ScvAshIWoufpdvng2v8lL5fVN
/6dx+VuB4Z0vuaWX8fnfx7wcHx+Vf3rQnvo/LrHplrYzEUNUYOel90viP3XeA/P2jndtbb04Xdx4
5trMcRiwDhhhsYWDNHG0TKVyuhOaN+PByqH2I1Pb9trYcj68MD0f/vxNX06jeA32xqQMLCUpSrjK
obAiW3ZVY0UMtc62O6HuXj/Fwr2plikLRwvYnFGNndflUIu7vubGkHCGThNxXDxodOJhTjbtMVSN
M5DdRBm2hprjQkbpiaHXAWT1qpsSkfsOZueZafLyPNcFUSEhMCZcCL5FtkcW1CQ0Q27VliC9MbRr
DrzS0q9F7gR9M7ZBnrfRqcsSdUi61rkVQjehoaPr5ypuj3Hejb82DdGN31Ha+1FTuUGRplPq9em0
BNYUZZ8sZACeEaW6d0CKBVgwrUMgWN0TcKbdITWDc0apsry1srw9cKHsAKy/9iiYcf3ZgTyFzG2K
/1dC2nsoxfH6mb+ObmCyuQTbyWWCCMJcJPG4ci/GStQdhI7LXsVHu0nIURVr9oba/3tXAfCa2jZG
q6CJyOWWDDVjOkuUk6UFbaZk/iii4aitfg9lsX0eTFHC0YyXjHOi4Jhe72XRQKqiBsmPXaf0l8at
ELW1Yvyplw7diQovLEVdBhAmvDLc7JbjzPKoBD424sc5dqogx8qfZ6QOB3fh/afrX+jSUgrFM8GV
gPvf0nrrcnbr1Cb8uNBYHDDgYUGqjlYAUsP38Y5wGZSNB+FQaFlJij7V5gAzVi1NlCbyiG6eOCxo
0gVdYe3RQbemBUOrFAFNh+IqIDzZgm4i06emG1UfOhFlf1QNXRJfFzz9o4gUzNpinOYnZQZV7Fjo
1Ze+fO0ccQ4G+QjhcAVU65b/RFhCwN0aolMcxzX35FDor6CLjfmxImn6cycc/S1FrIUqJTVszz9s
jRusG0IxTB6Clj2j7haQXJYsaQZuihA9tjb2F9RvRTiZ2kG/QufkExtUvKdTvT1pDlO6PjlEgMoW
6g1Ts5x02VWWPA0QjQlhdeOvDUBmvtGOjf7uUh8wMrHbeRpbi8IFp3Aa+A8MC57kep9fWBRRRgtE
zt06BCU39hIi6ntoI6Y7iK3tq3heRSGKtaHITrDJ16tQSeMZD7AO286Ut7SMak8WojvmZnqfwBnM
IzwDgY/AYWI4ENsGD/EgAOt0sSGp1RKMDnIoZ9mVBrywIdQOFUwxcVHte4OHqtsJVOCqCceK1QiS
MCgiPcaKJyxoW9ihHdT92+Xg0wX2hqmIyBu2yDSIeURTzpA9j4QXaB3Yya1rl6mP5kLxLnb5en4O
R5wucA/h1Z2tVVl6q6sTIeeQRJF+EFGhT6RR004o/fba4Vm7gHxywiGPsQ4ifHntLAjUxU5p5pCW
ABJ3Y6pDq61+u26LLywi0H13kLgDdSO3RDvT4bIpKxvDpqbLIRvrucJgraT/4/oyb2wFTosgDlJr
eILcbmOHa3eaWk6LMQSEjT06fRvdMaLb+2Z2F9/M0/z9+nqb8Hj9QsLB1yEMfhoyktvHJIom7ud6
CmXF448SnIYDtXMNrFDZBq0a86BrOnZws0hiEEBa73y6C3fRocTBPAFFkD9u9VNz2EsnYcMYGpFa
h6hJrdQbEzJ5BfToPl/f6oUv6KyDQCVKe4Dbb+UaEKZjeu1ARwy5SvPCmwvFfIW2717189KebMQg
hDoEt9/eXMeoMXaW2WoOQdmrfsWJOiZ0K5PSU43F6vP1XW3TYY4oDqfn2mr1qlRurYdJe7Bh7cIK
0Uex3WOCbqT7gVhx/aWKLesBzd7SfMtK5T6Nket+ArnPdiHACT1mr+4Lle1Y52fG2itfKwWzhWBE
Kubim66f4YUTiCeZ8WwkJIxxDgPKidOgTpaD6vmRLRj9ELQdoESYKYOgN4B5J/SYJ3JofA40lnPK
o6mrQN1xQJEtAdkpggRtji80TucPbKrsLLh+fm8eAH5cBw5aSAov/eb4JsyI6Et7mcPMoc7vVWSR
dXhE3/mJZuJ2ZHF2RMPb3PfO6BwYmfdEhN446nX9dUKtkvh6cpvYOV3fCF62czjbbeSxSnGfQk/8
ZJel/gqmcHpXYe87l+bNFcWiqNzYVAn0R2FsXn+jpV+6CVSaOVx7Yb/kaih6P85NjWYcrcwePPzi
ahRTEhH+Saq2RIlmzCc9SDGH0C4Yzk7mmNRDg83xWcLIzvW7dJyujTQAwYGAR9jsDM8+GvsOj6/o
0NXGYKQUZnpO+1DV6XhAx3g6TI4DKPn1W/Qc2mxvPSwLxikShkHEW1WGhNrJ4phpDpe60167JEV/
Yp0dfbBTd+R+RqqwmIdj0zj5zwQNz0c+yUNc2blvYxgHplkN6T1F2gL+ThF3bCcwe+NV8L0RBkLz
ShAUzranYqWOVYyQ7g9n3gk/qcz8BJyMNXpW1+lbmxR7mculz6BQFMRsTYFPscUZR5CRcKFxREJR
yMLP0Yq+b21Tf254Gx96DfgYFH/2pCIvLgpDiOImJ6h8rr/+wvKgGzdYImFL2BZjAYxMxvUBekjt
TyzVCeSGCSZDZE1t72lpXbjfKF7YKN8jxkeRdtOWAmwASVWXkjAdVcMB0FDGOhTR4P4OXIT++fpN
u7BJGzEpEGlcIV7cylBYk4qK3HHmMMmJhVvUocMiUtk/gK1WHfBz9B665ua9gdzqxxAxMkSMFCNw
Vyv64mjlAEKcDSmvkKAu2mBsHG9bn4zZO1UcETE+LwRrvB6kCxf6eiEIT9sAY05LWGbg/CKhykM0
+/qd5/omFMAqEu8Um2JwmdsSMmkjB7qLNQ27RddDIKKxIgF1BIC917/Wtsr7vB+HoZxGOGj0EHJ+
vZ9KgmUS5RYNW03IdFj03LcBBkzGi2/H6/FR1IGfTBdzNxgXIJC8RjMT+0AyO4nfjQVxPNKIPA1T
NxXvo3/9edqI0IHTx+2leDKvf7pIRVUDUDoNs8JtVFBnOfrukifLXnnh0hN5udDmsyJXLaLZxkKY
21mtgNTWIl4ztcUnqlsIL14/9TfpPkwch7uWcOcIwrYPsm27vh7zCtbHshwfoF3rZzTS2dlMU/lT
KYzzmGqmA3TkAAq7vvSFcIJDAMmBoDGCTKj3vj7RORrzuXBgC2ao+D0JjDUgvm7V9Al+AVBvAHnI
XWxF842tBJDcQwHk3/Wf4MLdRnqHvUuKP7NtorJK2bdKGhLKMitWXV5jxpu0N416F0/i+fLgZiP/
RC7OXbGtE1czQB5V3jkhiQUPiqKZAjN35ftdFzIUREjwrWTt+rw+ULOyudUUOWEkLInafTlOKhjG
tPwOQ5Tkvlki/vX6CV64rM5aJkL0jjsrt7VhltcA0ySFE9ZA7AU6dszBnoEsRAq4J4hxwTEreEmY
ujVmRgXz9e4QGbm06ChHGbrrfinzGJhAFVlDoNpyHc9ZO3oPIrDtB60mSSFpYLZEvVRA+uf1mqLW
zUxpzEPAqFvnaGZIBXpJW+YfNE3aW8wabj7Fbdz/wTt7BARlSenHeihkvRN502eF6E3QhGwa5UbE
CRQnvTGOKMKLkiyZDIeuV5mfT4hGjh3t2o8Wibl8gPiXXZ2AUOqyU9orQJDyiYnvXYyR3EeWdzLD
C6oGcZCY6vwlixP0rg08SH1OMzZrDwDXxD0Mmd19qapU936aRiwN4oFnhU+qJfqpZrT4GUjZ8gHY
K9N+tZdc26BE0OmxlM7Y+K4BMTAYUNiSpyRuouZoAUNp+zOz+Hib5G0HqUWuMUlRDbOT+cIt6e9a
Dx0A31Zb3yVQxDbApbP8S2slJYCDZec4h7Qw9SfRDxyQb2ORxWuMcYZDzTr+HeMyxhnAxgiiDm1F
cSTjbKmvvSqdyYcoaK6DXAyWC33NTo2+BQ6D9svcjh7RHxrqT5kNcmng2INaPADUauiQZa3BWF0k
gRjP1rosOiwVn36hXWJ1j5hGrO+HUYDSIBOhfwEA0cFPjFrXryYChP48l+kInDPYI1+6oemfwFuq
QFMxC32yAT/4MWvGv7sGU8FPUM0cP0pVQHQrnzKAkpaIqRlCQcjsEIZPwv5YUAmZ5mFm0UedEmv2
5qVTHzrTUArSRRx9TyqwRrwhi5qHjkSDE2JPw+e670X0KPsY3kPIjLSHotblQ1/RxvhQvMOkcG2P
GHUAkGz5y0jQkjjZxi2A8gVy8BC1Yw9ixjDHYY/fI/dKahLqi4iI7wCNjdhP21TVLdjopPKdZWoT
L65ztEQk7wE9jnr8QEdTxm57TCtkpR8JBn/2Xlm1lKGePJnedwubRGfAqOfB7xjB8NvEHnLjY6Ya
C3Pd1OQ0McgM+DUrjR3ELQZte8C42d9rEQvl5ZSOjp87eihvMF+n+HUq++k7QsjlPDu5C6wzZbr2
BGsxvU+7U/Rb7JL6N253JT3Wui+I70TEqg717IKYEhNpgtwUGgDuEdQCAopYmOOeAWVHuhGIIAsQ
FdyQCX22sZhKfojhJP/4f0M+jZPJWhvu06y/9YzqpwfeSbNH+r/gpxX8nKAOMlEXpZnXliizG9Va
keEhIH468TQp2vyQYy7fVx0DH+PFQlehBpkHMe3QRXup/wVPCYoSisiot1Hw9ze1r9K2omokDQs7
mMkHjY5FUALKtGPmVnO6NXKwcdgf0kO0cTabnOa+s2u7ZCEz1lDPHuIDeH6XAG/tEXhQwPOASP4t
cWZT/3HdkV3yLnDP6IvZaOTCi74+X97X8RoqsHAuMsC1q1TMJ2OT5ZNoXOcEOalv19d7u1UJOAhZ
6z7INtnWs0RNVFk0GUW4RGWXe8lgkdRX7dj0t1a+COlZRizTMVkshL/Xl357lRyOGgrDvCwQ2N70
c9F0oilIP6uQD5D6GA/k2L/FaU4yHwIwwGuVtVP1h57BtnpAjKq93PNCGQ6FW7Tq1qQFudk2cenm
RPJZZuVZpjKJMbPXTcB9TSsAd+0YcfahQ0oHxpUFjZcQfYAGkhdc29DtMaT7zElV5TtH8jaMQSsP
NS2gBRAC4xq8/vq5lbb2VAAS2GrAZtcByOp2NlTcDDp1f71+/G9vGtbCW1Zos0GrYqtp0EDVuKpJ
kZ8r1+4PiZ1ijjZl/X3CR0hPuUOys7e3Nw05CyADOHJUrqHZ+Xpvw5ByUBQXN3TTLD8BEeR6Uizl
vZ3N9AQMOvXAYDA7L/nCga4FQozHwh4Bx9gsapMJ2AxhqxCWu3iAIweSeZbLIe4J2dnfW9MEQUYY
DNwJCZT8tnECYpV0OmFUWIuGHS3e5zddNu91zS98NQfNGcVQrkUnext/0QhzgYC4ASiHZBZcSGT9
ZJJxOKQjGfFKabJTRXgex/naFiKSRz8NvUE8FVTjX3+2bFrscULWhtowqwuUvlyYP9QzbMD3x9b+
iKFCozyDRWjAmqVRFJ2yhCaPZtTOh9QC38ZzxwmtReDvradodkwcABRfFvcZ45XwQIJb+pNpRPcx
A9Y9enCqmX/roll9XtkVewCKC/cBQABke2jduYJuu9npzBBaii4Kga6eKHAgEQaT2QoXyJtjMeXv
v34u4D+oW2DJtZT3+vAs46pmAfInbNrenT23qkrrgKqxfuJFWb9PdnrN7gDHWRuSmALJVrv6erV2
ptpywK4Mu9IgvIwH+a2Xpd7BGl2451gF6ANAjdCX2fZkwASlQE7NUViDW45gJAe75DMBtcbdWeiC
f3BtHB9x4SdWg/h6O7nDh1byJgoXJ3WWAOEyQ/TnrgyrvhSeBgH10LhTgqlyS7lXFLh0UdZyANJX
XHvwZV4vXqBeDDwxi0JidekTIqKOfc0zjOxmFqh/T9dN8aXFUBpEkoccFoCxTTUyBolyVNNghZaG
QNnQZipb51qQ80BVery+1gUDgouP+i76vIgy3sBupqXKOZ2tMC5UGRRD1wUkZuOx0+Dk4XnsWMUL
Vh/NCuA+UUlDw3drFQXpugnyXFaI1njyyEirA0wXKO5MXlQeKHbWWdNS7tyctxUd4FRQ0od7RzmH
bF1bNyTdBN9thQzcDeLFJUkiP2+pEYdeQscukOUolWen1firBYbCiRkz8x21kUs7R58PnSL8D8it
zWvMq0mWQvZWiMLlOvyrjgAMG2Ixjke7GGYSLCoGWd6NZv3T9U986YVC9Iv/WU0Cdub13cVTTIbe
lFZYtIu8LbPF8mOkszv7u7SKi7eJ/hfCVbEtm4EssAjt1viy+Zw43og+nB1UkHPe0/m9dGPd5wAN
rW80KDbbkYOCrGSUYDsOqkmZ6hpfpSCqxqi56hiMq+und+kx4lmINSpC73m7XKfSrGhsVwERY3jA
7dqg/dRJb86Gf/A40ENfe6+ApeGqbK4IpFZmwvoiCvu8Azysd7P+I9TVOJCMZV8CkcobbC9rlXq/
EYA9VfhDANLF3xiBGle/W7DHPuq6EGXZwlvoIj8XA+ozKLZWh3efKc4S/hZ6EIy9iWtFgaL6mkyG
BRVgkkYUk1cT10bxEZr015e6cC3RZIEZJUDYo8i5Mdxo5Vc2LVoFwRmRPhQMox97KA+erq9y4ZKs
IRhcLqCLuPvr43/RXIkBDRhrRPJhnBfTrQta3yFuafxDxaIKri/1rGq6icDgGxQIBTBpmMW32REr
GvBBikyFmTI1eGcDZNgxHG5NvmUM+gcvgqKLoKQQ90DpmWHwGhDtf9b2Ep+iwnJ38B8X3DJEJRAB
ABYHz7wttRYobJR6Wv2/aXI0Ct26geiKHm5i1NH81IqLQ6olIj44tHbnLC4du22jUQCkM3L7rU1N
AR9zID8Shei16OwO+s2AQ7kVBypXYsza3gTvi8shR4XZgQF/k4yndtpAHUkgWsRsjHMiJ9sNcCXG
DyMEZ/YkOC+YOSVcRPX4M8dDWX+YF1dqjBYF0j8+M+hDEgTWyfIQ8dgeeIazZwqidh7KhaIyIlN0
BgFSZvhjGwtLaxiLSnQqNMUCDZeyY3bp9yzhy2GOiLaOEnOBsluU+U1+KmMz1Iekgh4Q6qHTXOw8
qOdke3vL0eoW0KJ3kShuU99s5IZnoKKHJhtL7isUYdobDdWN5FHXGuVW0O/c6BAt1jAFVpHnt0OZ
TT/kLPuvCQSSOg/yQzKGCEaaUfgFWpYnAnrgDTSWbIxgh3ZBdLj+Mi99sTW6eC7Nr53J11+swlyw
iSxJFGIKESTolZ1+I3lefwNeDioTVTYItnP/3749pGLolK9JBVLarSkA3zYSCS1dgAKWsT1xM9Bv
ESj4JAC6osD0oybV+SqRxH9ajFHvG+G8JhhQiEWLDK6DrHnuxl/1wuRqiXIXcZWtlT/FMnOO+QSA
345/emvE14U4wI6A2aw459cnmwD523ex64RtHLuYIldU577je3KLb583VoGXAGANxRbcuderQO1y
Jf0arJInxZEuAw9KXSVH4BKnnet9cUNIgUB+AhwRwMfXSyVz3SfAKTthEQFEo8APCBs29P71C3lx
QwgjUDhEVQdR2etVALIli5mlEyaOrgKjaOvrgdhnxwI9/B8shVQaxUi6ApI2X4jZMTiqzYhSP0yF
71ZkPjQqmfxlruk/2RWkY9BvcuH+tpe+An8czog4IUaj/kwBFgIQezQnN2/GHdf29kGvCCuHgMwC
+Acqgq/PD/oEab7IyQGwq+7OKa3cIynz0Z9UxcB1svcmVF5YDyBigDkBAwScbFtbiRKbVUAXuWEF
4cybGkJ5EB1YzKGyzeBTOe6Z/EvrIdrEo3IZ/rvlQVR5lSBw6GA+nIx86NHq/oi8rTV3UTmI7ySq
M7aTiV24keBAALwJwN7KUto8sRgiBHlvNW4IcYjZSyG74KGD/6zYtjeu49JS+HAIDhBq0jdwLgcC
W8CP2W64VIt7A3EVE6AFNAUVr4YdM3zhNaNqiIe8hkBrCPj6nkAEw5YdnE5oD6jSdhpqVpO2xp17
f+lrvVjl2X+/CAhsmgHHOxs3xNMA+FKxGT2/eQDDPe3CCRJgh+tP+uJ6gOdLmA8UarfggBHhG7T7
NL5VvVSQgKmhmgHlPy+e6urIeUbeX2NxUV4BEFzhYqCctDGKljs4qPHVGGwzRPHBMao/SgDy0OWa
9tgk6xd5HV2gCAzu69pGRxV4K54MvTeDgADDrIUmzO8aNKZyjhuZl0vuL6NNwsZF97kFUyEQmWa/
Xz/aCzE81gc8AVUQgOvQb3l9Y7p6wSRnibMdnYw3YUrj/Idql54Heeo6hV8yaeoPc5vr8eRq5rQI
gGzzE5QazQ3o+mu3eUwg9nT9x7oQTsAWAOEJngswVduYq9KQNtGT7aDuJOYGXPOa3mc6cn7t+xYy
S2g7K+O59tD/QVuBFvD11S+9InS5QHRBiQ1MwvVBv7jf5QqNbhUCXqktE0wFtAJBI7bO11e5ZBZw
uaAFBR4P8CEbm57EDp9SC20HJ2/nB91DDiUbZjdwp+b79ZUuBNQrORue6pmxhHzh9YY6PKkFBR5M
TJ/Y8DhWAGv4FH0O6U9VIb/xymTQZVDxeCYEybaiI7q9HbQFrv8cF84VFEnXXXt6SCjeRGmY8wOC
zaxCiJXlD5D5hMIIdHU//4NV4EzQrVJAF24tu5Y8h/QSVSEEZtLouToCFPbsdnvqEeupbZ7uCkwH
xQJdhrXc9PpUkzJecRVxFIJkUEdBYTDkNtCFzr8UBfQlb8asaO9t2kEF7voOL9hDhuweuwOP823n
Y9bovFd1gftZ5PSuw2nfQBszvuex7vxqdvdmpF68PyveENA+nCr6zq936tSQGKE5RZWE28O33I2a
ewn9CPRI0DvAFNXpIFLEqKC7qpPJs/I4UqjPvX/TaB/g/kAeAMJum9OeINC4mBRdLKjZ5d+mrDbq
JJ0yU15TIWA/4G8s+Y7jufBEEYJDLgENd/jVreNB2WO0SwVH53ZO7+slST0bSiXHDHqb/2AprIXS
zWqGESW/PmJbzNCsFQl8HIAMn4tU8R8Gxll4SSmgiHr9LC+YV2BV/7PY+lBfGDiIJU2VmJHFyD4h
3LcQhX/rl8KcJ8DHKi9ZYvoBYA/X8WoghKfw+uqXzADSjbWxD2k3srVGDL1HrmbLDSHCWz9AeGy8
A1OA7YTMl74dcqjV0LC1KLP++ss95ognmn6GeZ2FPnA7jf1plvyQtE20c5yXNoRKKVrIAIq+Zc3w
JF4WUiDqivqsPefRkgYu5Hn+wSqAYK7Z9drIfQMK6DJw7Kpchgk0wE6YBFQHS9o2O/fwAuXGZWtb
EGExWUH3m4uIAvbULLKUYY1BDuDaUfNptiH4jAeOmh6EQP0mmpNTw6Y0ME1EPMhTOncAj6FpyXsr
IBbkyhyn1Q9lFtdetGRi58tu7K5EjxnFafDMkCqgvr+1u+3Ma1Cv5HjOzNB9gMabfZz7pf5cTG57
50LNI4Rh/n79zl5ccy2qonyL9sX2NqVzbTiNxhGS22jdBHo2xS3igi5IIf5ZHxpOCsAEnBxIyOsL
b2w9NouUgSBBVwRsizfXuKy7CpKc03qtRPKgoIzhF3wofq/Lvv5hZw2u9fUFN5f5zwVBhUWlDwTI
N4BVzSD5mjDTnpvcMucFokgeBr+aHWrN5VVQpF2ZXQAnbIIfCv9lWVMHicZ6KhJPTdT9qDK5N19z
YwT+3MxKbVjVIN5+NhonAkztTp/1CKMGnT6znKSI2Bgkdjz8cf3kLiyGqiVY71BAQO1hGzbWNJ2d
Nk06TGntrNsuyfpjMkXlwwwZ3p0nsDq7F6HHui9o8SCYWkE58FDbRzoKSOQ0kTk3jWm736ssQXGD
9XPxUDVFDaWmVIvhBgPPog/gjhQP80zH7v0XBYU3PL/VvCJM3wSVUteouOnYnNEC6+9Q0VzQ2SfR
l/cfKnAeCmJ9FMZ8m4pBp67uUiBLzhBqTjAArfxVZ255cHiz1/O68NLWt40aGEA5a+nttcOYiBoT
Ojn6DD08cuonN858xSEF7EE3tT91inbvJPusnxGIBchJw5wD0bytVTV13E22FpAL1Nb0oeE50lm5
qFvW8r0hDdsY7nktNNWQTsElIqXdbI+3CjFwIfozkC9tecPrJIGeHlRcAd5Umt8YoesfVT5DiSQH
SRd2kDyxWO/NxLrwSHBhAJTEj0AA+V9//YVbLpk9sZYt3RklkOVJxxGkOd3UWOA42HukggtfFAcM
7uwq1/C22+5A60T2adqfU1PNtxaUQT9HbV92oTDSZT7Ux9q9Ws/bJSHQYMN0onYPXNd2e24xV1WR
ZuZc6LE+TEIeJC0gltlA8Lsas7/Uzv5WkOitGcVyEmkydrn2gdZA78VpLiOCrKRz9RnIpv7cQS7h
ZGGvwXvfIFaBVAcgeaiY47W/XqWALi2Km5E+p5gm+dDYGPZQxApkKtrvkYi21wNfCsR4tJ7heZB7
b5Niq+WYudJbyxksz/bG1DbSfOLURxR19Y79urgUHvtK7EQutTXXICktJQYzkPNEkirkVf81HZvx
ENv2O+sJqFxhUy9WWi/Ni69EZxvCsF1NziJpxuPYR5gyZfE9otLWJ6yrYOAC2jAKhfw3NfYBaEV4
ip6eKaKRysuF/IJ6E/qPAGwfho5mh3pg6h6RP3ADdG7ex+BZN0lBIcTbRtUE/OONS8ppDkhA3pAz
GyNzU0HKEITgZa/xuX1f6yqoqAMwiZQMRY3NVQRlW/IUluVcgbYQaOBnQG5YxqBaUuWLSrQ7jnb7
wNb1/oxRGO4kStOvPx3krBENgcd9XuKCDD6KctlXraEh/v7LuLY6EeeBP44cdxMPDY78b9LOa0du
a+vWT0SAOdySrOpiB7VyuiFkyeJizvHp/4/ti6NiE0VoH8M2DBjQKq4w45hjlLNUmGqAMAM43jBM
UATRumhU7nOlMY4YwHY+i0yTDbQpI7wuSRtljdZnXGlBNRhMvNRJ8sjhWsFtu/HCTvBnmMLuYehl
BoaBrKxDpte7pzJUw7uo9YAX3zqf45IyfyD0sv1YV5I9MzuAGgEUkpE4F3o7f9aKWlVxt8tkoqOg
DKonRTCAnju7t1YWE7m5cLcVgHb0PkPkPMScuT1mNfJK1B7elU3RSX6oRObbhbZqfloySdPP5pjG
zrfJkef2u6C7pSGzQGPgbC6jkO7RP0l7D2GBQnhTBsobbkwnns+392LH2lA6AfELzJi3ua1KTZEa
9kuaqYGAYzxYoPh1Eykrg0gRR4e780bWqvVamnJIcl8igT/MTZI0CfTw8xLIkxi+WPHcBcjkjH6v
99W/0zx8v/1lm2LC+vBh46KCSSi6EqZsPLrdjH0BS+kSNE6iyjAS5b9Da7A/RRBNe4qY1Gc1TfOg
ynXtwC+9BH+b+7WywfBc6FYRR22WzrMoaeu6X9hPJAgfqkKPv2Z94bxnoskISjuyGfYQffQMeUz9
Vc37+twOjvmxDkv1y4gGz/PQL9Pp9n7snDTkIytyCtAr5mMTaOUT83Bxqi+kAa0BRVvX3s8K4+pp
VB4NnewvBUuATBqMPdx8v4M0xjhIJifdydoTQ0y1qxtx8VRK8dGU8+5SfBdFI9I14BnXTzkf1Dox
C7ylEDWDfGKYOh9OL/HekdLuoDe3c4G1NX+CjJS+2St8bT0TgiStvQR9SXvic0Rs92liIuqpz+wi
/6kijHPgvHZXXIGnEMeAJd+m90LK40hJiyVQxsp6D40adLzhIPuo4gywoERHcKH1DmwvLt1wpkvI
6NeRmuvdbAepsuq0mwMEGFR/UkFFDxUqHs5Q58+tFf0EPmoeVBL2TlDlTmKIiXhewQcdIaDoiwwM
cGGV76Pelr1WqyGSGbP4/3Op1f38YYG6UgvLaLDnYFHtJIY5dx7f5WmD2pOUyQyI3n5wu5vJ3AaY
bzrIr2ICPQ+Zj5nYTKcdlYcxq7K7Xs+y31CDmpdoqarPMsHJwR3d3U0arToIDeU14CWB+L0a+3KG
4LuU30ydyO66qonv1pTuIAbZM7AvtC5kmwDbt688aZulxKhNAT4rdJWorIEiMX0JF6JKUkH006PJ
4xahpR5UaY5WXp/Nn+cIz0qCwjsfSU/Zq3NLQk5q1s/yVDgXfVL6X4Now8xtzLI4WHpLAfviVsAe
kPnThFuZJa/Xro1q6Lsk5VSHpinx5F0I9CCe48EH/prYzHTEgiY6adHomYB+gxkFCQYbzdC5rxLJ
VlwZXRQBBERHdUNRIVZ0VYR1bbcxapq540L5+blHoCo73b6Qe3eDKhDBD7MIr9EuuUD1a85TGSlc
OzuPCE351YKacr7I9sHd3zNcBBQMweDtyTo3ZlkedDPTx2UJhqaezxFk8xdnmEqQ8/PyKEQ5393+
tL23tjJ3MMTIgq/axcgPaRFyaAwAIOGunvVe65/yETjeW1g9VDvIQwn9GyVtu/e3F9Z2QtaVhgVY
A66eSHkTS5oRfk6G3TcopUmtfOgt9B+NI8dJ0Fm13dytyBn7TMsvjU8or4jlTNPamJFRnoyvcKnI
xbPZNKnqAxeo0BMo9dH2K9h8Is9e0jY904cXMlXvIfmULyuf1FBAfnKWK9FE97GhLp+SepCRrJpR
aSBPdHr9exelTuX1ctr9BKm4lD7EGlCNFLC6foQ93dLdxa6niXnZwSoQqaC5U/z9DaBaa+AS8Sav
B0+npGhNabUOvJey94xKyaSHJBXjd62Sk+zc9n1cn28fxs6tWzEz/A1j9noZrt9mJddElp1EBb6U
Ifdk2nnm2mEZTtBRhorXioGix/+yJmModOPoAGyR4U1EdXjFsvDMLVgaZ8XMfZRsmjOgjOnDIDsH
F27nvtGdwlUS3VJl3eYuVmFoQxiWU4CGiU5G1qEa5Rljbh4143aelE5tmi7JCncAXXi9mbTCtXi2
8ynQkVgUj3ImwwyJOpnMQNY0oj0UiWV5TNo5+XF7R3fM1Epwy8gjH/mafHYZk5YR3GYOVOh/Ek+Y
8eyczJAW72lgNuBgKmPvzqzsHhBG2SYx3boNf/gSPZ+qGQ7AOai7pb8vCIsVX48ldfItpMHUk6mh
nHb7A3fcFy0MiJToMq5Fno1xtEsRdZqol2AcGqd46tJSbuAlSE3QbPkPU5KeYJLTJq+wuyMujtUa
bQK8dRp6Df8VRNu2+fw8W3ClkJ4G2JT6gvHPTjnTP/eNrSdBluo6jCoqxOlNIoGgGermYLf3znYd
JVzBgkDcttaSEnBOcK5gFbrinT2NecAc6z9Ll+UHDmFLVrb6aWJJKJOp/dCr2kYnqWJUYxHVnCth
kvosEoOiatxYUuH3tHotUNlLXj1pVg94vBdK8b1u6wLtp8b+LOeFlsGy4Dj/8Apq8z6G46ELMt2m
jnT7Luw8Z9wV+GTw8isEZXP9EJzoLODhSwAhUebDydeftFY9om574RbfnPs6SgwL0srhRc3o+pZL
qlLij2OKcHj97C4c8r56aGsnukc/FMXFaRgbzUtiJXmw9HJh5CQqlm/UccvF66a0/eHU2VDcyQhZ
GhfLapRfrRyqpifgfOkQUlKtzkPgRyruMqRPa+wEFBWnMJ9F7iWOk1j/mMx2hl5MXV99ID/M5ovd
IqznMxGWjm4T5xaqZ8D3OKQ4rTI36TDWj8M8J/9Muqje6XEU/VYrM+/8EI1c2S1DS+69mmF3xcuH
obnXItmK/FwyZwgVqlG912S0FL/dPq/tDPx6r0BnruDT3amDjAnseM3qSaMRZ/1JVFCN/yJiWn1R
Y8KctzKwfHLeeDDHh7qfFgQCOBjhUUibf1tNIx1h0naeFBV9nhL1OYLSLQDFVirbzGpFD7RSViX4
JJRPZPn6267A/9z++B1bSU5IvwtQPahfYzVsf9hK2WmKsYTKMYglbIvPLFSt3yPJZMF12IXh8p42
g/j7hIYyCjVIeNVZcmssoyVWY2PStcBwQHCi6d0z4TmqfTR9nQkGjrptO14PAP0Lu8Ka6W9DCAEa
XNcXRQtyrTQDDRDfHbM5hO/w6H9JI20853L17va27vgD7tOqSIAACljczbaSOlpDVwidrjaYO1dY
mdp6oEvHt7BqET3XA2WqaEkfnEWPxsvtxXcMELxWULnCGI5JdjaLj/nSlnqUmcFA2eokR3F+h17q
/PdmDhZ5GPLplKLKstUdH2PVXNK5MIO0N9CiVa3MZ+o9OchId57CClgFi0J+Q3ddvb6fSWc4oU5A
FkylnPgAtZNHxAelE+B09XR72171LbED5IAGKFyGzNi9dV//eAuI4M5ZLGlm0AyW5suMrj7qdhef
0I1ewPZYwID1vPuq94PmC8lO/EUbtINd3XmPK+KEk/sPD7z5DWZlyivPkxUYs1l+yRKje2/VSngu
7dH4MrdOdNQY3vtqyO2Z9DRo1+JV11/0x1fbbWZWjQNPMtFu8VEujPwugujOhTmpAppZSl4zO62X
jhNTIVE8emG9WP7trd/9apsonxCRH7N9Luksz5OAMzDQc0c/M/LFKom5zjiFgw/z5SHb784TcWSK
1gwCrCC4V4VrVIvNJOytQAuRnXSnzklPdaMXfmeP9cmqdEi3Ujt+D/Ah8yVbbj1IqiR/BhftDpR8
/XFQ7bvYtOvPt3di74dR93whhQHitSXdV8qRKrcsGbxdW38PPb/iwrcVHZQ8dkwiO/3/VtlYCGMl
HYnl2AzkVIlOuL3vttOpX6ZR/4Hw4nTfjp128JBfuv6beAVHQ8eazi7jAlvG4N6SCNltvGzV5L3k
VtYqp1EWU/UWPaY2crvSMUp3yUqUf4tWtOWTqMK0f1IRfNYeU4gxvnVdOV+QrwiHb3Em6dJbXS30
BEpsLWlRjByUxgWwJjESPY7pe7gRzN9tqg4m+utGNN1BUzt9pocjQSLE2LkRiIo5Xz8GsXIn0EKN
fU3ul9yjSdWNftkkSugvtjDC93Y4gUsqtbWuGCHQGPntaCaR24LkPGrh7j5I6BaIb/9Da29MnjVF
8ZRErUkpDATzOUkI3u6aGmEVlBgganRbQI2Sq6Ane1HMflbR944wToYlwiM87o75XVs7UBSh18UM
tHxtHJy4R5JazGaAlEd8SswIDu4EVSQ8t3xgA9Y7t70f2F5I9Zh6WzuG10ulRopAFoDBYIhi8Ss1
xsm186pFz62Zn3JTmaBAy+Z7WvrGQV1j782tqAaaZRgFmq+blfMaCP68mEG7DMupMCCAAC9/1Cvb
20p6oGSJ64AnraTrVcxsmdc5ByMYlyn7B9xrjmVD1zgV4tNtG7K3EpbNoU+1ovC3/r+bu0zTtBzP
7DBNlaZx+QOUs/YUd8Apbi+1Z0ioFTM7sQarNAKvP0oqwsaqKu5HPlnafWRI9UcT4ZDHmKT7EbFA
4zt8BQex1e7nkV1Rn3mBjW42EjVFLU1iNtKCYc06SQRhuRcbQ3XS5DQ5SA72FyMvkKnpESZvHqPe
wGhpIKgRxAWTwWYNYU0kKcnF6Cv94AG8Xoq0lbk7/DCyHcyYXu/lHMdGqg8YZUfNloe6maGaDY3l
Q7WAf799bK9v/JohayaPGnf76lkbepliVFUjMMZSRuIMJ59nrX2+vcqLOOj1k1ZWM6asdKt82Dby
dgYRwkmfaMEI0ZZzN9G1UN8ZkNyKh3zKC1Q8ZKd/WO/Vr0KS1Etr41YfUkqkH9vGlD86OrhCr8mT
WhlcpIBpm2vzZEl+r0AM54dtpzR+Enb258kyowJJarX4vcSx+mGoUGY4h6WpU6GcwvCnmSU08OHZ
jj6pqL3mj3aDg3eTntqj2yAYr3j2EJo/M2Qptbu4mdOfljHZqWsLyfi3EYP2s0GT4DlBRvufzunr
0iOFHZieGtRKdp3aau+EU/XWx85aKHGly1IP79spS4qHFBGAd0thoNsTDtXyy0apIr+EZQzH5DwC
CfLkuVY/juasgUGqQfl6ILsKBabMtBW+nhWj5kZVkfzMEFCDbnNOutnHlupPaYWarKfldSffq6GU
/5AUOZfd3rLbhVkmrTcP3PhOskzjHRe+EmJpVDg2DyLuZASH01QLiIKXlhPMnOgfGVHjyB3bTNGf
hkobwVGkiQqVHqSa9l2qWuNbXJbyBYEmdK5u37IXZYbNLQM4QxqpcJkZHNnU3oZuGMsCaA4hk/hg
13p7SmjSXzK0TZEut2erO/VNqLsScrFuKemOL3SR+FmjafSYEIWeqSp/PPhR6zZsfxSFctQtVlp9
HPn1Y15WDeEpK9VAz2aEwF0TsfjHuEhCi9vmRF+sBQzLZSpiXXbbAT0DL3fkBfmvMu6y+7zKJ8Sj
kZg+evlb0D3FDpI1AHaMbYLlo0J6/cNof4EznUs9mERZDoEzh8juZvNYO0+zI/c/FmThZxd1ebv0
wr6XO6+mkaW26MtL+WfUhif5IsWLiuibpWQwQqZd94P2/Pxcxcrw6/Y27tgpWNeAHIKqJvrYinIY
1ly3ktpoNMtz+UNaRPLkzZo5HxXTnNenRQEeZDHQX1bbEooPvWV0tmBKXB4L51s2RLIPrqV61ghV
cxeZo2RlhUBz+zS1mRW5dRIWygEw4LUrxbuA+jfW+ABe/s3BSLZamynqb4HBf3zgrtluLefq4Jb5
JEWnWmKaLQMWeZAK7G0xjoCuDuB4ON42y8boTFptt1D8Wgb1DLNxck/ioB480h3fBvsCcADGXBmt
3cYJCPeWkhzaekAXoI7p3bTOz96ponfwc8nJgd/Z+SQSDUJJCtIrtc/GRBHVD1PRZFpQVrkRzMzT
v1u6JDqoe++uss6ugFilN7/Nm+vRLpLUGrWAsDK6D2VncCGsqA+4B83XNxPkBmg9BlFMGLc3xq1Y
OivUxnoMijgMnd/OqJqpz1yBDhlTywN8KuhZH6y5cxN1mMqYQyM4eN0PLxj/ty3UvQKl1trvo7yi
U1qpdq2hjH1oltPHuazTg0N74bPYWEyd4IfiB/MnK+PFtWFqIcIQ8aQNwZCOTfOUqzVYOasR9E6A
MzVv2R5JDaAnRTINah163KYFh3ZktKLykvW8z2Ml6tqP8zxR/Ghqm+h5Ys7t0xgv9LlWoMaTldWF
eopSUSkfRUTI4wLGhyhZSTG4PzRRivRbhav6IXVCKS9wG9stQC41ts4jfCullxNdR+8ze8hNlxlx
rTqIzPb2/mUeipG1lWNk06KzhIO0ad11AVpM84dQggAb4j+5Bs7SqecJ1pzan5R6fH/b0O5cs7U1
B1qf/pwBcvB680VRaymChn2gTKPzNouMxTNK21oVv+13GKvu4DNXq7I9bGqU9CJBXlNGXLfhj6IT
JbCeABogeTwJ491YKO3PorSFNwpjOommW36+ENEuRVsc3LOdZ0tuiQ1Cv2h9vZtrBi8po2QNPdBe
by1Xr9XuzoD18u72fu65WVbgFa3WAXXBTTBfL3Yy1pU5BWPcp+V9B2V3ezETRQ3MaoSyKilK5INr
25YkP+srsTwYLfOoH3olpGc49FrY/WqiqszPGLpBfhsi+wruB2r/T6o8C/3g9+5cO6wlfbV1dun1
QFE2jjBYNglNPLgKaA+b1duZ0WICgU5LezduwiwoEW050pjcW3cV1CQfprYLPcb1PagSLR7sJZwD
qbSqS9Z38Tu9KSdvGFLlGTfZeiJr4s+3D2fnsr/Uxqn8QbQEkvR60WGYTE6nmgLNXiofxZbUr+3B
Pk19+TksBzu4vdzOjUNIheYs/nUlZNs86aZIZR3u4jlo2x62emtwVOHqFdyPt9fZC81XwpYVFs+8
MIbi+rsWo6YdWDljYICFRvcx0uIfEBvLoztT2g5Pk2j0QJFqBJ3aPo0/yJLQ1btBr43HiQbl/OP2
79k5W4uQBngqXoQ5xs3PmWDV1u1MboN4JMALyiy23lXc47uuV8sHeJ5b9aRkovz7QssaKfIstPVs
X/V7ljSVY1oSTBRCfn+CjVe4WRq1l4Gw4HT7E3fiRgsDht+irkPHZXOTZmcmV42rNiiXlZY/gikb
wRzHk5O4O09aFd4podydY97SWdjl8vH28julwpWDnm4StpQaxRbQkSxg22O16gIIipfQVyGGs92i
nXJoh6tcRoPZURKQStz2kxZnKLl0iRJ9kYWpHum37ER4MNKtESzzgqARNnZ1IsuGIp7JnSntZ98E
o2O6urSS9EOa1hz12HeeMBacCQbeFVC0rZsk3wW61bXMdo0liL1O9BfSrN51yiL0214uDtLeva+D
C2DlS+a0X/FvirovK81JuqCbWqf06kaz67sJudhvgy1a9UDqdMc70pQlPcNRcbW2TFk09Ku2Nxvo
l1oU/XpJcbzWUMqgTxTpbE1zdz9B5/Wuzqgh3r5RhoqNuHbMlFvWsJnPXHu0m2ME3pKEZcYAkW0Y
KU91IFT3FWNl/aeMIdMCY3TkzZLZ4wcHkfHGLXV7/gKluTT6YPhCquy2HaIRtyy27TdhJSP2boej
7Hdj1wq3Wmq0xmdnbBTfXqgInVoY+BKvjQDLwGdVTrIb60tseJEWKr9zCOV6F2qc2XKtsLI+KFUr
QdTZ5tObsFeM36mlSOJsTHQNAgg9lY9lFOa6OzRFD9Cj7T84o9UgE86gRuKFHeIRHN7cIa9ijc7g
UVZIAfMq7egbTCUGpirC8XcpzD4MGNrrLA/1Yegsmwb2Deio4nQSrpH3repFtTCP5s1fXTOSXKwl
cI51lIVW5LUFL51iUoxloTMelt1JQVj3NI6qw7U2j/QddpZiJeD1cKRYXOyNVyLHM+Mwa0mtCyNk
hmvss7u07s35lCI3cCSZ8coHQpSNNNFLiGkAj9p8WMS4hgFQVsUmK62rwVD0tHS68bcpNKtAxgmw
nh4uA7Ybj5OAXqyzOmJyQJXjp8aAmjtWc/PRmJG2H2QZ5SpU2g7c3N6n6eAEyaBJVqEMuT6zyhCh
pceyDLJAzh9avU6D0umP2rSvnCmfRrQK/zyT+UT5m+Oyky5V9cVSAiC69rNaNNojRrB9m8ID8JH+
hQz9jCAQPYgp9pYlQgAKvlZg7K3iZhflXbzEvRwoWiW/k+JEPg8ZldXBzGHzYI5BUJ9wkuEIqfja
s/GxMI5aPIYXc7Re3z8SBC4SdSpoIIO0Ni30ZmQosj14QpYvbZJ1o1uPDWpBrUzNoorR3UN+Kc/9
tGit+HRgErcWcf0lOFe4iYG5QYZ8/Uukju6/kjNZBsU6BdzUWgJVhkUbzrjqIDd5/SYZO1/rtqzE
BOV2qcLqujjXYwLwunoTxnb3JoXTx88L6Qjr8PrSrhNUlLyAVUDrY28+Smm7tmwJowIVP137EgSa
a8aXHxW19tZxIBRkBx3wTFvRc5Wufpyj2x4Y0Og8Qq1W+POg/nXrEKwErSCalLQaEOXafE00skMG
43qBiV8c/GVqkgF+4CRRz3ZSM75vdH3yzxyVgNSHtkiPHufr2gU/YCWZoUGEHXh1RyY10fvInJWg
Y5QQ8FzRRzAmpogWu6bSZZVroMAru7opqe8hPiI0UmtN/ykZkfPVMSvtp4x40dcwH5UFTn8Jgai6
Uy1vgjKHsjql7++pNqrDD1Xp2/dOk801OG90OACIZdGz5hTJj1TYxrdKjUXtZxHIPM+CJvh7YyTL
g9bCsOXGE3S6wNAhgj4wEq+CMb6eIQQcFp0kaoibKNhI7JJy8WoBo174szpNULNE4EYyY/aKtOov
f/cigW1AlL0KEhB6057e2IY2hzLSNkuHFoRoPlkoTXm6RClaykUVHCy1jYfIYDDtpBKU32g5qusF
/8MOxUuW27PWTNghlD3dFpKaN5lkTcRAqa5BY9pM3YNeztGwDpCKb2Vrjv19IrWTfOq0AZoRNNeb
8muio/vxps7k3GsY1PoxhbUT/2qMzHmUCYyQDreJJ8z7LhuN2oeKUkl9Q40M8dwKilju2FR9Ca1Q
RlQPtCuMLgUxxLdldhbTrco4I9/IZLvz1IrGgy+1ZtZ6EtD1BI6lLG3RbGpqVMQmefpiSMCwPQtZ
gN7tctuO0Koeq+LtOI4toVQ3zG/0MO8BGsz4lAtaOLH2tkZSGncaDSkCyKmhV4FqpXEE7XXXmpfM
FHN0kuwusT/dPoGtB+IA8AMrGgpCV8rHm8hBLq1M4h1QKbIrm+xV7sWdFoZ99oCAnD1cmrxSvzql
mKKjYa9XPoil0bDB9xFOMA71km//cfYmU066JJkDdYImSj1bVDEUzGMZfZfLFJiiiBkPvDchssoD
pZOUz7zOZnbzbLGWvyzJrj8F77sCglCkBhp6fQ2tPhm7pCsGaggrIooo3U2UxPzp6MngIcWKDDmq
Mgfh1KuCAquC/aBysXLIAxDbPDRA2KlaVjCijG3INpiZ6TwreTYggJ4x8+wlOkAVV8zo7T3lE5VY
t47qzvSlpGrFCYJHuP5u34ath1ypPFZ/ggI4QRD/vt4HUcRJPKbUi1Zqzueol5LAlkfNX+r2iN13
67pYit1eLwBAHOqEm4uXYRiY1hgZDZ375KJ3eXZfmV16d/uD9lZZi1/g7yhGUY66/qB8JZOW1IGp
/6zPfYGO453SZLp3e5Wdq7xCQWm8QBJskNdtPsawMoowKSY6Bgzn5Ukv38OK2Z6suld8Nc3FRyrv
bhnXD45Uo2BZFEeg1NfvmF+wQvzo0K590U0AW44tUGp9loN+ROwhbtv4UltdfI6t0ApSrZm90owW
/+C71z/1z3R2PURKmrxgWtUQym8iA21oRZmNjC2vHJEC1QWrFJ40DbU498XEbFmV1vqjBEjQU9S5
Bdyny/VD2cCt5JKcx/fCiiRkHa1ROiJUeWnovfptK9kQngzo5fYuw2uSMC7YLUGmZOpDmYxm7nL5
63+sxVmovKZDPt2JapkSvzX0tR1oOEsRyEPDqKE8hVHhSRoTLe7MWETstlaLWl/TEV14UqeKyTWl
ymw8rSMv8UIxml80rTUnt6lARTIxUbdvzdbsJ09ORfktzpu28qaqHiI31/P8x8jrf55yAeIxXMMX
t+nqvHDlSB5/D2Ec56iwo5fuGl0UDW42aOKtnkf5N7nv6CjfPsdtQWQ9RjrXVJc4JvoFmwhDN6sw
drqWwX9DCd/IRmE9Qvk2JZ6+pM4vkDn977oPwRNaZWN+vL32jhUEqk5payVwNlf9jusnikCS2vJ+
loABzLg8WbNK2SEy4HbQU7RNXQOWyuc66RFnbTGOhb8GDV+ybsoTX9G75giutr7Vzb2Bjg7sE2A1
7MY2y5WUEjWarpPhOSjL+FxHqLKguGpmJ0WbGbnoqHtQqwDOm/vzykbo9lyig6x3xxAzL0/AjfFa
O7sbQzzpEqKnUD0EFTjJIGzhPpcR+aKmHFUHJnLHckCqSPy1lsQ4is1SehuGBPfLFED94DzXXZqf
5ryuvDGq5PsCy48sVvK/MK5C0EVID48VmdLGXIUD19EUioGugdp7cplnruKf5ELIMNoYh6iMtR30
x5lSbAPZ+Mdyq5v4I9QQRQUeN4rMSzUMyo+w07VfkHQO+bkvm9H08kZPL0klyo/ZmOnVPbn6oJ+c
cKmPBCE35/ryQ+CFgcZ0nel6NXpS6uoMBn0wL9KYdF8doTCJqNbRc2oU4nT7YW1c38tSmD+cH6hI
up2bLYbzUZgF8JwLeGcGlVp58SOB2vHtVTbJycsqSPwQOnKUFobkemcRUB9jm8LBRYjZCkRrq76G
TCsCB2XxttYHcQAL2NzWdb11jojQCXdLG2JzWwEEVV0FnP5iDUv/EA7COTVLLr1hByZvMowC5er2
f6B0RfQO3DxDnXTQX9z/H9dHBegZ2RKLal0WumlRqf44SsZF7Y34ICjc2U/Kkys/F307ku7tTRXL
0KW14NTiyvGw1rE/wC53J+w2JQUqO//2+e1cyKv1NvuZgchOhiSxLpEZxx4AQvWNVbYT3OB18nd5
5cvRcWqMGK4jdUzuXV+VarKyHqVt85JXSe5GiF0/j8CAPpVmePBRe5uIRyO6JB5awTfXKzk44nXK
LQrGMh7cMGbmoGnt7mEZ7cRLgIEcmNCNy3j5snVk26GBwaLbGc0hziVtgeMp0BrLygL4DYpPSaEo
pZeW2vjdNicnO9FatCMXgT/1oUuHJLh9jjuvfR2L50LQHMK2rO/mjyvaiUmGedeOgr5qlZNRQfsO
Fqo+eO2bQOHlQ2mDMURCOQZQ8ua2GGoWZ3WtRdALd9WjVonhybQX68lqTPMxCpkx8NmhLnKtzone
3/7CLY/Ef4ujzrYOcYOh2CZpAD+jXJoKEQirdGqSdRTX0YFikOOxb0fExZW6hDxzqhhBcw1C0/De
yAY0zgYpr0of2ib9rplMfTmbQ9as6IDE6u9GybapBdhVE3kLiDvVs0a91r/e/vF7G0flauWkWf/Z
9o77tNG0ynCQRKTdKFxLlaxz2AvxlsCnu3cYC3LttJWJfnL7dHvpvRe+ZkBAnh0mkLY3g5A8zOxu
ki4gV0ff6Rf1LsyNyacXNB5cwr13AMiBJwc9zapqfX0JLR4dg8BLHBS9SJ27elaHxUubKuu+m6Gm
frcHTfk2ARFN3Fjo9mPKjK1z0Nzb+1wa0+rK5A7gZgu10TKna0DaiMBWpvjk2E14mqHhaWdxlP3s
uCLYd+hIMAewMlOuu/HHk0vSJJL1OUZSE2AycKU4Whwv7qVm8UROT9UdTKcbT3E99snBO9wxcFQE
4Xyj/45O09bgqCMwCJIv6aKhXNM/gWNNmCgbyAL9kv/3vgX7Ux94pp2N1TGqmFPK9WtX+PpzJ8ox
lZOk0gV19E9Z3RWf5Cz/lHf2cHCCe/vKbhIAkolYry5sZhm0ZNUyvGRZQztQliCpWjJtuK9HayCF
RFSwOE1WmR+x8e99IaWPFVEBnuIVkmSWla6nQIjsXNYJ2wf8XcgugJ5Ec62pWQ563jsmQafyQSca
t4FZ2Oyn1UsZrgShuWaq1OjO6SwhXHse7O5SJjRL70rM/b+MtkYfCilq54MrtLs8WjakvGQZ1P+u
jzOVBsFztcMLoZb0SWFUuPQjqwXF3xJmTI+9rRvlRbeTsgnqBXKyz7fN0o6t+G+uhVkZsLHbz2cu
u1TmJhFBkg/W8Ksfkk7cl9w/GgzqOIKNs62k8FIr7YXbR0ZTuYrTVkc0r3tnzu7TzGQAa615X28D
Erj1DN8lj3hqo4fM7hPXziBD7awoP3hAW4KF1YHRW8T+EzBzs7fcZGVhZ+kiWdKlqU0penIq5u/P
jAOIwh1gSgtKCxRE7PYS+fBZmHLefnFy5nE8WY0y68xQc5PcWVMR3RuTJPUPoyTNb6YeZaeDq7m7
KWu+RD/OeJ2lGPlYMbkeSeioj71BfptG3yUIA3QPnujyCB2+Z8y4hHQbMaa0XjdeI09DNQ1TpIlF
wbi6ZNSl4eq2oE0faVX0I+b9HHE47kRLeMSVmpbck+7ZJloiPesmNZLjQJ+V/NxW8NIuo3nUBXwp
um3STgIVYL4OUq8r/v36cqX2Ek+lbRCxNJ3If9VRqsQPQE3m2G3UJZ3cWFMj537uACbc9bK1SEHZ
jwZUh8i2JkGkalnypdYZp3DnRmvGh7AY+jdijM3Oo/tRGd68JIwmFjFzivdqYlXN+xiefvNfiSis
c8e8mohqKlpzBzdkW7VZ7/LLo4HGzKEht32+o65MKUSScSA5meYEirlQqpFoNahuPc9O9NQnctV4
auhEstcvLTucG3qrnjVNyt5UTpr/vTQ5uS5pIWvg/ED5X2+2qUgtpWozDhSQLEFcmxXgRoR8b5ut
nadBXEO3hCkd6BW2+W5dq/bQmHYc5JaR3MuEw2/TbqnuLMAx324vtXdJCdyoX6JYwl+bd7HkSRM3
C1usRkzXTolaecCltYOS/463Xf9snvk6hUr+fL1tmVynMnolcdD1cBdK1jqDOzbICJaV2fqVrnZP
MJseFZ32v41NXEfx1FcaMNkywBDb8QDVSIlyF8IpKfHL2s4O9nDHyxlAvFYmSA4N3aTrrwtHu6Xu
nSVBGglSIr4ReZKYIYoKLYQCOJUT2nH1Br2f4ZOe18nfS6GT7/CBBjwy9Hi2hiaql+r/ODuvJblx
pG1fESPozSnLNtVqtbw0JwyNRqI3oCeu/n/Y38GvZjGKod2dnYOdCaEAAolE5msmE2QXgabhWebp
JuJ7oA/KRg2vZdfF1/t7ZiOWLtCihegIzIGix+v5jnEb1fCm4ofC6tKzxBD8asragIQdz1/VKd0T
E90YDzolPEd0UiGErCNcx3vfA3MWPRRZW59Q7bN8RHzLSwhq5KpSNd2JOxvHz14uUJQkFoPQtUaR
Y4xRjmlR9DAPDU6Q9P7PM6H8POthvNMT3B6KGxD0EXXKm+MHS3yMRRY9tHbiYZFr62+EWmsP9Zg0
D/e/2uZQtMHZqpRDb14StCA0uGy8DodRLQ8yxZIkFJEbKEU/7sxq47jbyMviEgcJin7v6uaTlVaM
Q5/FD3K25vLN0IZGAw+2sIxjLWRXAHNK0/CbVXQy/np/li96uavrEF00ulPLW5Tcd7U5NSsTukXb
EjgvqnwXNLqj3p9cr/qvjTuIqfCwqnMvRWgcscub80OH6619duwkzg922vczHZna/Dq0UKGOou+d
x97m/zjZVpo8RcBk4p0kdevDIL0Fm5dDtSAHXx+nbLJthK4H7zoKKwIyGXlXqkB5wMtH2blY1j3E
5UaltonANjg+mojrra2YGCFi5wYLjZbbU9IIk0S4GlFwi+DFiDg+jUU7nQS9oaNoYvUguqQ/3v9E
G+FyyVGBwMHeoLyz2h0tDOEmVZvFca0eflfVNATtNJnH0JXmYTaT8YNrFb9C5BN39sbGfUBCQX0C
7CJPvjXSW8ZWlSQTVm8ZJi/XEBLiswNVZm+NV3CT/1tj5C6ptdF4uKlfTXPdG5NqeLivYtHhA3Y1
w+OcdH181guj+e7pc/q1K5Thq9UN/AtmGpe8NaFyVmdFLhBaGoJefL6/6htBlKIdfgzgm5Y3wupc
0J9sYzz7cMlG1vJt4kTyt+1FEj3fGUQvDNJv98fb+MrgX1loFgD43xr/HI9ORCsIl6uxoe/i2b8d
LXkXN/ZbEdlfG834UZUYVd4fc9k5q7OPxhDxhs4Hvdh1mtGOoIebbMJ6PDKq7y06ZwfgNHDFJocy
raz/UzPb3Il1G6eXo8vDgoPLZNcFZ9so4o7U17sWXvqdSlNHA7HEZa6Rzc65Wb7QenbYaSx/cXx5
VLyOE3Zj2RXqAljaJUgMLP3hDjCTndaTD3jUdP3K7nA5qGJN/Bs1kv6hVzTK8/0l3poutbcF4AgG
4CZYVU2uDImgoKDVil74TqbaT61joeI52B2E+v9hNO4RSF7UnG8SYaud5GCaFEtgYOUHzaqiLyCC
00NiDOJ/mdgfQy3B449C25AoQzQVwwJrSMuL6JXvRp2O51nLxv/hJFLQoQ+uQbMAb/d6pGLkgYFu
UXjtIQU/1HqsPsqG4ODOVXdwp3aPF7b5yci52ZtbpMzaMCim5SK8Iq3RJlCRZ7U/6W1X/DI0CTD9
/ifbOoO8jXix0Ri57Z0lpSrUtrO9a2pbiyLQlBTpE7gwKzvq81xTYEl1UBzw9ZI9M7qtiZKGY8lE
kF/aka8X1jMme4xnhePvpsNJZUGeygqsnVGZ4nR/lltDUcGjrbygJW+NZ6bEnt0YEIyoInlGj4hj
b0bqVeshbf39UMDGubdNpLUINK9nhd6iWk9oOVwzpNefC1WLOHuzcxhkLaKdj7cVYkicaAsu7dab
THt0vDKTKo1BxLOcZ6FEIKdCU31vGjk2I1o3tm95ZrUPytCO30daM3vv661bA3o58CZn0U1c95Mj
M1MkZA0ehnEYYg4jwrI/S8omv9Q8Cn8L5DraYzTmxleyhXxPtmnrq4JOXBg7zP2mXOnRw6Pt4DlX
p5iLd11hT+fabW1/gUbv5CKbQ7lAhkhGgMGtm1xQs+PEouF7rfohPDepIY9iSLJAbfX/wZ3doXUO
HN3i7zelL0OfeVspDNV6rnysbWM4dNjbHmKRTiCUmr0Nu7GJWLzFRhOY2G1zJLLSsk9gDl0X3+8W
11dLfhb4FzdUoqro+2xl3F5NqVs/eURUway3ya/7R2Yj0QOUwJVMlF0YCKsjM0cdajAVlqF6bTmH
pu3y41A4e9iHjU8IhJk+JQgLcGnrdpvhwqXVY4zae6j25/H/xOP16ZI2mb1zLl9S09XdT9oOHQbQ
kI55weqNEBcugrC9510H1MOHqzUmmVH6Hb2Nf0Wcj95Xrc5DFxZynze/IqWzHuVkJk9aHRr1F2nW
tIjMoXbGp9EYlek8dmLOvyjjgH9d1s2OdlCGKireFlpcfKxq+i5+2jTyyR7aXjnMCKTLx6HW1I80
gLvmpKCm0V/kHM7/eWk9YKoUtrpx1sdZIOsztuVhnLs4gS6qRdZSdtbmYwODKQ7mMfQbL/e+ac44
T++tckKWUDcSU7uWSZt/1GQb2X6r4St61GHp/W5NBMP8rG7r7pAWpa5eZ3w0fyiV0MNjE/VsJVe0
8Qc7c+fJr+3MLB/ybhADfQazTnD79Zr6oPZph/WoSpvspBW1JX2AyOZT6s1p9rUCqaOe7u/AjWwb
XRYe25wCNuD6eM/NgHzNcuaoaimHcUzrB8VINb8oLTRu9NL++0SJ8Ragk6EtyPrV/khIQUNrNPGF
H1XnfeVpRdDVWK4idL5ztrZ2PTEQ2BqKq5Abl3/+R57UDUoicFKKHmLLzKqz05dRBIkoQmNBT1I0
J+8v5EY6wc1Hfk1BZoPnPQvADrydlWsPMOjM9Rh9ggnW+kjW28fUNM0jleNxZ9DNOfKnLpql1HvX
J1vYjWjB4NKFHKAg8/HCJx363rs+D7vT/fltBUvYYMjVAIykUbf6cK0zmfPYNvQlAKwMdIT0iKKF
1SS23yh4Vx6NHKGfQ5KrZqCjcTMd0tgxxPX+r9iaMLijpeUKUPzm3g9xtJntiWphHY/RZ3yyS1CZ
KG4XCpK394d6ycLWoWyBV1F+WJrK6yu+SBqkKNKOBhWJ4Pyx98rqH/qhTu3XeWLG5zyX43zu9bDM
38hESR+jjgYaKl+Z/S2D5PFU5LXXPRi5hWa4g/cX3VsLRNMVj1gzfZ9EtlcekslC/ViJ++azyMsM
+48W0StwrplSHEp6Iz/AbqRfSFVL5azzbA4Kz8FZFkGY8g02k8keEn1jhcGzICMMqxHphfXjbaIm
p2i2rlw9tfiM9JZ3gcVj+Lk6GTvfcuPyA1KKTA3VxMWEffW86IZU90IHKEafdfkprAtib1XvOdBt
VZIoNdNqpDFDNFj3KKq6Nr2mMPmMiTk9CnQ1kbSpQn/wNJY4LU3z33qw09NkZ9/GIUYvqNd+3d9K
G0GWn0AVCbLNwt1aXfNaTyGz9BSOaWUkV8XM8hH4ey1PAIW0M8TGaAc0sPkRKSEtl71JBW3553/E
vlba2Zi3s3KFNjTgoDPkB3RmkkuvcPfen9vmVyQHJuy91MlWcUHIyUit3lCuFlqp1wRqznX0GmsH
6Lg1Cg/rBdC1cCTWRaEEAz08JkPl2kbmfMA5KDvpHe7d9+eyuVcWkBw6DpTUSWBer1vlKok7zRTw
VaQmHzwRwXyaDPPdYFP5trxJ/qZnraI1AJERaWhLxkcQYPb7+z9j4yqBfYNOCX9RT1iX/yZvLLpc
SSjrQwC/zrPNGwq9lBOpqaR6M/UX2obpznfcGnTBKgE/AACNLtLrqQs6UwXq4HS54whGvaqEgYGd
9ds8zsR1iErxQYcnuFNh2LhUFomhhfCG/cmNeW/TisSepgogWJzUX7Q4Nk5RJwApSiM5TkpTvJlS
1zzEEzenVnbZTojfOpe8wpH25IFzW7VRk1mvI0twLmlyvi27ujxqXv0rdKk08uyfdpb4dhNT1wDc
AbUP9P5N+yvVOq3W9Ta8xtLRPznGjDGjV847Z//mZcqrFKVmGjVUFvhr+RV/nP1ZF53o6Gpcvbp1
3zdDU7/rPb099nkPJ7CARijHGlAi+KW/fmgwNCLEvEqpLy54pddDF70Xpigh9ddpiHvVl3Ys/mlD
Cb8E25lQ/+vTSiigpAFc36BdS1vi9XDR7Jpy1tPxChqDTYNsBmoNEBRk9G5wJmEf0adx3IMsa0QG
BQ8P3c/1sSSntiycQe8f2o1l54EM12g5PSRKq/OTph1i6mk5MPfSQ78C4H5xiliNr6no3W+uKnrz
HLWGg0BObPGY+OvhF9V6LhjSI27TVRjuZWwMIx3+K2mLcag6Ckt+J+3WL7NkeGxLUJ11njuB3hdf
/35kODzLy5K7/KZZ4fVuRZGlGbkAwuaQuXX+Ri1NMflmUY4XTUbum6YR/RFodfhwf+i1GudCk2cP
2CTctIhIV1Y7IHQhKELaHa+pdIYgazoTgc0y1I/6EMvLpLXKY532xndv7jG5FUl7TlUj9IWNYCk9
zMZvUVT42YeltxPYbqIpP2y5DhcqJ+AtY4k8fxzCyijR8k714dqPiv3FLW3PL2vpXOAg4A7uxcZn
FOLGz/eX4yacUXxDGIKCAiNSgVvtgRpwDbRIvb/Wea2qJ2PK82vrxMm70auU5mwkhhnvnMGbkLbU
+/AKXDo2KrfVetePGQcwqoerV/LutfQEZg5l8NP9iW2OAnYIiTouixuoWIcGeRmGLfzbprf+ra2s
xuBUNf6HUXijcQuBF1h6JK+/mTBx4USnl1FG17q02M2daUDudQq25kLD3oFMpWGVuYa9tTNs5nkY
B0ieynyomzk+jg4ui/dX7BaRxIcBlgMGiLuAXH6VydSCSoUdFgwzOu4FDayoOZahrT2nkbAQVgQc
76GhW1pPMqmqZ1H0lXsUtKziw1zn7t7Vd7M1YW+AIzFxugPjQgb3em0rp4trRxPyGit9pvtGSdXF
7xDqjH3bq7Cdmci7/ru/BjcrvYxJeW2RSQHzclOPrqt4aAGAXRXS0+fe7Nqnog7HnV2zOTOXSj7o
HUiD62TNrRLLGhARIoWJ5KEyvf6a4kz3gfatfsHK0Ut2jtzNRUM/nKNGX40kbTGNe72U0dSBj9es
+SpzMz15wNkeHfy2Pk54CPmTFjkXzJrENeqS6G87iMvI9BL4L3cMteTXI9sJzSBQIEjyKqI+m4WB
ft5ML8H2ELDcmeXyZ716fC9jcZ/x9aDi3cCeXaNxna5W5BVos3lqQm9+7Bo7/jg2+KLujHWb9jOY
ZhEzF+IuGcwqWk90CJ3O1uV1zBXxFfGL+A35qJuci7EZPGi6baL5XWt1P8fIM5/cwZvepSkVwZ0c
4nbHLg3apWsK+nbxg3+9wG7U1UOUkuTrQi+fIWt0Z5Bg3d4Tf2uYhWyI3yR/h7nyepih6CpE+9iy
bLAw9TE5a90DolXT3tt7b6DV7ZBpeqGI3JBXrVDMN2kziFOR5X+NuqK59cd01mTvRRPTsLFUuCK/
2vpxOcj3tZn+DHU5HIWmTzuZ1s3VvgxnUAOD84MAy9qKqJE5VUVHlVd7tuWpKiw0B01zuoypFH45
oOs8FhSF/zaWvR50tZJlOSPVZQ7y6lqTdpHtXASRGPWd/Xd76FA1p+DF/xb2vroKLZnO69qWnINQ
n+bnWJ/FCdZ1dY2gOuwMdbs1SNhfJGxwdFj0Nl7vQUVJ4641B+NaKhmq8zEIHrNv96hvtxNaRlmO
NBXnWzeupWIJ5lAY1y6NxUGf8/EwGlP9Mempvt//Qrf3AIAVNgYMAqCjN0/Z1NTzMEtU4zpLqfpu
mKmnWbbuCaWo5DiCxv16f7zbbYj+EPB5beFMAIzVXy9gx+7O7T42KQjkwwXFcvFPVaXyWET1Yp6C
UL7wgbKqO4WYrRVd+gQoXfP1qC+9HraCIuzERWReAXLGR5B6wyHXaJZXirEntLS1otRiFjgFywoE
6/VQJS85oZapeRV5Jh7irs8+R8KWjzLV51/eTMl25x5YDtHrOwesGUkTtwE3D8IRrwfEZkZL6hj2
56gnzY88yRwRyNSCkGDAftdJb1vFuuRNgSgNlf6H0tSrn/e/6sbyLv1csiTSCTLd1U0U6tga1Enp
XGW4qEh7DlorWaidXDfdUw3eOIFUt0H8M+WNxi5qO3SposK+ysqIL5Di7KNkbU73J7TxEaHGcCgW
q61bEhwUUKsYCKNkK8KhNWcV57G2+iPE0foy5pOylx6tpkUnlovNdWxyTJA/FEBef0QHFEBJhyl/
oLLiPlphQZ5pxnvvu41RoEBzs4AgAWC83ip50xve3OY5fJ2sfMKuqDnKyt0jea7O+DIXBDJJXWm4
bFiaOMj7ZTXQzwdTK3sftxDt1Mv8X2fQZO2bs0EmFIGE+Ltj8DIqgBgedbTO6OOuqjh912mwLJr8
YbSS8lNKEysYQiNN/bFMK8+vMrHQiPsE1LhmRcZz5tJP+19+wyKpu0j4k2murwfDnCcu1fxhmFX3
g2WQcE2h4yD5E6YHO5HNW0XxhI+zYvEtN5v68/1du7XwvHVo5/GY5r25Gr7Oaf0iJFs90GbWDs08
Gt9DxxY++RmiV4pevoUcRtT761FR5QHPAgCKqsWasyHHBr3XWVQPErLZ+6hT9Yuwp/YLgl3u27TO
fiVgML7dH3NjI7O/6Ng7NLluqzdaVeadbIbywauE8U5UKO/Hippf74+yiqzLlgJ+wAWsU6sBcb+q
0wyUJSbkI8oHDU/Ef1yRptlpFGNWX8lsGkxXsYut/CHFe9HPsGZrTnUbNslOXX0VXF9+Bb8AKC8K
Peyt1cYeO9frNSuvHpZiwrfQHH7O5Wz5StLrn+7Pd2tVX0CHZIgE8vUtGWu1xMi9qB5EGHZnD4n7
szSmPTmnzfkQ416uCkrLq/sqbhM0thtUetqUpyctSARyDTxfulb5S7jTy9JhjrE4amD1qa8PRGtZ
VVrGonhwUKP7Mho5jNBe4ey+tZVpyYD1arAfojRO6yOFSKvYORrresZirsGXA2jFc5CUZy1xD+Oi
KuiMZgGiqtVDNFR0R8uheNRkaX+ttar+VsJXRadMKa45rdZjnwm4OlMV7Wzl7V8CVJjYyA+5sSKN
vSmv00bLAiXPrOZAnEoekZvFVKezcy9ow6h7arTGPM+VNb/DJUJ9Gzdz4vqW7IydHb26XV9WhRhp
g2Ja+EprFy8vjm1ZVmMaNFn8Mx882oo6wnmloPaA9eAexmG9rZePANrgRX8cDZW1q9xiYVENlp0G
g5bKD5YjsncxCsg7D6z1tmYUslrI3JR1eQevRymSEMeN2YgC107GU2u4P2cYEWdPzPUOf2Z56P6R
8C3LBy4KvrpKorBwhF7nCuoQuhOG5lGQ0Hj+YcYVngQFHqVPCF55td+SIQ2+IeLx1LuTrVzuB4mt
0Zc2I3gpysTu2gcowp+qzYEuBorizr6ijUmQirY6a/C8ryiF2ZfGLuhzIiq2c5q2VhiyJ0GfMied
9+WX/VGd7qNImxF3jINYzeZT6mAxGjthdqmabk8sZh35lyXGOJTiLS0CylaryJ8gc6Im7RgFmWy7
QFW7BuO1ojgUbTR9IvMv/bIy54sTj4b0gcntvdY3TghJPWU5aMaUAdeWvmGbjjRk+MTzkJ2i2pZn
2cHeqLoWA06xV7Va5w0vm+mFTbDUVYy1TY/jyCqKtSZ8KFMvug6KNTy6TjwfGrWZj9kEKCce1Wjv
slneXKttzKfEHRnFUDLFl/LWH5+zJWRXUb4QMKESTScZOVPt2xJvxJMUlYBPneTxGOBkiCDIXI72
B5x+Y+cQWnaIdbtTa181LRIny3XH3ypdJIFKX47sTSMK5TGrQ/xvcGoV8HSRxHYug5yi94k2deYp
07v6TYi7CH7quB6l565pq2+4amjzBQ3XLPdpXHc/0jxGBM/SmubLZMjE5KO7E+qtuZe4NF/tOTkW
WlQ9l33V0ilqOy//Wcapd07yMZZI7vdmdJ2AMGtfdb2bP8Hng57518eR6qazAGqhJ4JIeX0oMvSI
kfpJYmRSQnEpkLw7Qw0bjrlSp7/SutSOc4gsFWp06s6VsrFrXmqdkO5J+G9c0uJQExijz3GgI7oV
NFrtnNAy7t97sZsfpiFqDnlLOeH+dDcOJiVGnmVIPCyIrtVLE3FYQ/YeKgNFH9UnT+b4LiVd+VVA
sz4jKldjW1sOB2yfihOtkP77/eE3rhJa0y9IX84nbdzXq105A8C4PkoCQ9bmQ5s4yVnN5Z651NYo
UBfgZi+UNeLQ61EwtptdbDOSAIotfnwOghLHKi+nnZb79jDk7UDB6USufTvTVnI9xEMSWKMsC7+Y
o+JHGVd7dduNWAZfgYBNQKOXss6io8mMZnZ+EtSxZ72tXVwuk9bQodZ4Fkonci/p25wWL2nUzGiJ
sUler54xjl3olWoSlJ1SBylQ7I8TdnU75257lAVLj64z+3H1jeyEckDEVR+4DZYHx2hWsWPI8kTf
GWfj0kN3gNcH992ihqO/ng3qkYCGdTcOjNEE/jCgbDgcKqet3oA0Lva0Y7dmxUh0nWgn8HZfjRZX
UGcK8L5BXsLtbzCXDuIm7naqcRspBIqIiCkQuBBYX99udtf3tfDKJDAjQ3niODnHNOmnR4l8Ehqd
k3MkopQHTZv2uJFbqwmgfOkhwMCgbfp6NTFurAs18+JAk010nXHmPKRS6d87qfx2P1Jsj+Qt9fZl
769LYmPsGlNDETWI7Hr4Xlkgd9Hdbz9NdbJHy9s6YItbOHASkII33sypNxhuAtUXudqqOpaNF3R6
Dtm2lF+6uPt6f16bgy0GkNSL2fbrXMGrENEzMqDmYx91bz0rif2iV91zPWf6aWItHu6Pt7Ejl2kB
UkGSDR73akcmkgr1aFRxgAn9fCaRmPHHaOzj/VE2vhajkM+SuzkYpK72BX6i4zRrUxz0eiLfTS1M
aruYu0WTTOwMtbH5bchiZJacsNtky1bjLnPcPg7MIvfMAGetPD3asm+u4Pg8y69wTb80bNIvnpD2
TsjfmidKDfTWUYbmXbq6v0qj0mIcEeNgGvMmO4ZjoX0MUxDYR5W+yfn+om69OVGxAzGwqCACGlhF
YgVKUWkLuwxyqp8nbTbCY6ZOuZ86nXIeHB0yoOZ94qGI8axVegfMeuKj22c7R3Fjy1KLX2xvuX4A
Cq5+xpAnIsTtoAhy8AQPZR13B7ztw7NVeCRpQ7qXo2x8YeSw6XPj84RwzHraOj6epkicMqBpozZH
x03ib+oE1PvoaOFM5pLY79osTrABcPT/7q/5xnFBrAIdEGexxuFHvA5wwh25zEOzCNrC7Vo+cGg9
Ryo9af/+OBvJHzhd8j56OIBb1maleiHxCaotPu2IGHI6DlmAy69zKvFR8EXcqKBd2+J6f9DNyYEQ
Ak+L+eXNwzdK0WpOGq0MTJwC3xRmUzw0Yyp2ntdbU+NNYvPlaN/c3BE0zM06U+YyKOvW+tkOUr+G
mpN99+rKoNoX1W567HGdvvz95KjNUDzgbb1c+K+/HJKQdeeFcRlgvtGfssZBlkfo404DcyMAUKtE
M2mBWLr6jZZKj3OpE+ZVoBp1pfphExnfm7SthkNSRbst+42TgPQzJ4+WPC2x9UUvOjK0QQk5CaEN
wsR1IDgi6DR8az0thl1gyNk89KmCV7mfzFNl7azpC35w9cbkB4BaoivMg2Ht5GyGMGfS2s0DRU5h
cZS9mWEx0oTNjzb2EKMuhVXL60DYQM8xi4r/jKYqvsi4nf4VnY7QqBN3keYj1DXvwTc2vgQ3NkcI
CAc8n/XFpre6m0Fg5qdFiEWpEfpYjpGbV14+6s4ybARAUhC4IC9RCbjI660FzyWzqYHl5HKiPlqy
Gh673uv9qJX1iVRwLwhtLjuRliBEgX4xIlkNaOU4f3VDHgCt7Z5aqMrP5P7CPecOns3nZFIVeWiV
KVOPbY3UVWDkdvPRrgU8XzT1UqT+i8y42l3s7el5bS07r52lHAjalybN6qfBwKm0iR2BPl/xU0nm
6JArkU2ktMydNHdrKJpgXAA41JFZrC5bRXfziXwDTwQj+Y0dsffoNv1wNig+fL4fOzZHQo6XjjOy
qpyg15OaxtQOE93Kg2zOquOsJkjd21rmFzpE5vtDrVFHS/URtiuKa4j3kJStU6VUGaw5TgQEuDxM
/xnLRr7vxlyG/ph5GSbknnmB34X1r5kW1c/arazT2FG+2bmAbqdM64A0BqN2rjq6I6+nnGql4qWV
UQTC0EbzUCb0GY9aihuMb8x6I0/3p701HMimxYNgEaGyV/dqlfWDq8YYfztL2Kywcfwy2/YPWcZ/
yS9ifT3mtXBrFy+Tm+L4wK1ehnOWBnpEbdFSQ/kg0LLcmc/tJccoCPnQrKfJfRMYKZOPxuBCiJ5z
u/3MPlGvJHHZT0NBMM3H/LI/DWpJcn9/GW8jEY2lRZ4TMgz/WcfjjDs7hRadBI2084+hl+gBphft
kz2bIroMRqLp5/sjLuf59Q3AiDxmF7t4WqPrjBezg5cOTRKMSWSh+N0VRwVM506E3VpOdsViTf+i
HbLaHkZFsGsRqg5akUfXBglj9Pd79ynpXePMU6D7iAjknonrxlEEnYBg9MvDj7+tzgBW4OgQImUT
QAzV/Szk6Emvjw8UCuePTdOmv3GNrh+0vsnPo6JGfj22COL8/QIT5cCxL92cG3U2eL4ja0Izh0p6
cQljL3xD8rJXBrmt+6EUhhoalSpUPm/CNjL/s+bFfRrU6GX2lzlBp0Xh8v4U6antnfVuUNVDo8f5
B9DFSX/QU695/vuJLmgs6hXsJOLO64jj5WXUFXqcBkU4oBJuKNpxVNs9F6OtE8LRRPyQ+hWAntWl
0bPI6NfqVFVduqNzMfXPWaPjtBlF/6a5nHbiwFZcI5i/tOQW6ObqOiynmZe3NcaBqhHclMYw/ARA
4kOHXfPORtk6I4gTLjYlVHCRB3m9fuBCDbafEwdZnNfH3rPyN4YV8gRLHOh3Pqom0VWWc//l/mfT
lrO3jgBkPmCdl2zk5s3bz0o9qhUP7sgSU3hA10I/TFOoPkZO0fy2irZBiBMNUTzOs9nzeSua4Ung
zbrgChTaO2Xk/rz/m7aC0vJxTUAaZMXrF2nRs72aeYiDdkyMfyF3l8+4LOxZ7m18W65pgBmgwkBL
rN+CiqvINsamJ3CtLgycsZneevowv7UbNT7en9BLQ2y1yOxZchxQJ4soxepw8BYGGuUR2NMsyeHT
RIV4FMVYzL40RCsOJNeL+JpTZ/o55Qr9pBZVEf3bRFUMWFNvvw523b9Tu65ojp0tBuPiYta1lOig
A/kyrkwN/jKZpl9O3Vif3c6zTmUq6vai9GoN8MI1c8oJIvnWGd44H4x2oA+gTVIdfE9LKvhjCWoS
QM2VdtiJ/hufE+Qkc0RbG1TKOjKk1Uiuh8t0MFXeJ63P7bdg3JudZ+nW16QnibwxlW0azKuTGhm5
3mUddkuDO3RHmH/0BHQp3ljoDZ7vf82NGAQrCdLv8ilvX00439WzcKM0MEdVO2qdHN+NuCW9daTU
f5TqNOxEhs3xll4n+xSsxHpqg1PqisQgFmyCmn5OEvtbCZvjOlC9fDe6vbuTwm59roV9p+LsTfNj
3cRRam+oqFvmgdOokP6ENp2iVHY7o2x9L+azqAC+cP6XsPRHe1NEUmur3MkCDAnTN1pv18dK0bWD
O1T1zqP+9plNpWcp/6K2SLVs3ZIH8TXWdQjAIW6s+WfWYBXT07+/TpAnD9ifp4+OEcbPXdqMO+d+
Y5ILGwgtSmIr5fzVJKGG0lxEhi/wKANZ59SrsycEqZrveap0//z1rlyU1rk9IL5Cvl/dH3YD8zSf
eFRisZ2c40ki59Wb9IzLrAVD1IBr3XnAbWwUMGa8qui7gItaB9DMMGQ5JXURyFipDvZQGpeqkMXp
/ry21hARYsoTS+WZK+H1RrEVoLqdTIqgaU0q3HCKgyQr7AN6JHucg62hyKHwtCa/oFa+itJWrPee
oqag8LVS/hhUVE0ONOTsb0nSl//dn9bGdQ/gCtANHBWXC3811kBwNlNL5aGtj/lbbRrn5hAWrf4R
+5ik9CfoPg81Puo7sXh7WIpoML/xPlzHkn7x2a3nPg8adwJ92hNWan+Ic+sEHVuxDg0aQMGsjt6e
ed/W2tKFgcWKChRZ6mq+M6dk0MckD8apt49JqkWfSsPAKG5S9Q/3l3ZrqKXoSl0d4urN403JLH3C
Vo2roCut45DE+JA6tZmfitEA7nB/sK3gwn0D3wHsDaZqqyM+dpoxF7aeBOpo2V/bfNJ0PzVaB6vL
xnpIZW1ctbp33qZg3ve40lsTpcQMY2DRMwWX9/pomHYuZhOJuwBrF92vhClPqkjEOUncaOesb9xB
aFz8/6FWpzDHcjGqJ42usVuk5zJFb2fk9vgNpd/zTRGHf99q9WD4LIRzin8uROTXczOUVgCZz5Og
18bfKE6Gj3mb7IG1aMzxx6wSs+WiY7tQGqIWt/p8ndsjF+AAmgprFIU+FTxvZOU75qA8J32vq+dc
Jq3jh+j3d4dMDa3+EDvC5rmM0r1vGWVZHBytV+aLLVzk2OfIUt+3qPd+xUsxArU5R2njg8ifLMyK
8tZ+xgK8+Z2ZQ4YLg9t4nyJ80cqrZ2dtdjFcoUWnNi6r1lcgHAW5pind0cM/QD3E5TT+ttXSDX0U
99Vvml16+jECJfl+GMbwQzbYskVAVy/ro61PWuV7aTQ8KjDaurPwUuObW+JbeTSzPhKHEgZXccwX
OuKxtcTQ+5UqFCVQYPY/TbpR26hA94jwj8rsFQcPLf+fVsvD8kNIpY2YEdqZdtHrptWoKEnqtIPR
lYc5qTJEjUP8jf3Z6mjJS2CLk81TrWyfUiJP4YvczWuyi2r6t4gRRjuGAEFBppTR9GWKpuwzUcqR
71rPoS/lN8hmWP8VvTXNx67V4u9tKpLxoUAA5lIMsk0fFPgVOAfLVksPRqa6yM6oeWafVBgtmV+a
kW4Q1xJDOVQGIsoSvEB+rNK5/UX0mOw3ej4lqLQqSgMuaoTt/zmdeeQcpQvZ/VlWov1Yp8JGI15F
x13a49Q8Y3EX137e2PKba2XeTwxC57M32Y7q9wkCkVfkdhrnghxl0fvc/sNTn5V69nZsx2H07aiN
3CPvypH0vrCy6CiLYWgPmTdC4FNbA+nKSOXWO3lJ4eRHbe7N5lCP9qSda2pT7TVTBw2DsbxGQrnp
vORNCSuq920j876BKR7dQzeV1mfhWW3pI1ukum91ZRwDq9bG3OfuxMNV5aKZrkNc4QVeai628b6b
tAWkSLDs4qCgzdIdc/BR4kFD70ocai4L4btD1P0nTFgtfpgrtvAHg47zoRVzob6pO2l9QZAmBgCG
Et8h78u2PCFcQ29oBuUWPQ88Jlu/cG2hfCmnRrcPUY27h1K38qOR4or8XKp1Ln1yNtQOKtX7f5yd
13LcSNZunwgR8OYWKMMiKUNJlLtByIxgEgnvn/4s6L9RoXCIYM/EaCKmezoLQObObT4z9Zcxqern
fmqs1kdMzvhSVvqsLVxVu/jTKb0uA12T/V4DaeOupC6k/8ckj7xj3RsrxRgJp57Te6uTxnuAuOEn
r/LcX5La/CMSXb9xtZl2rpObkE5GQJsI4AAzSpOO3HXYwwR9cCrQ3/fo4iVBs2DtSlSojpNi/Xz5
4rppGdHhN1lEJdVH73I9hh1p66vW4Mh7u9Gzb+7oyafIaG0wR17afi370jt3oik4edP4GbxuWh5f
/gE3j8rIaVF3WJpj/LlO7MZ0bGY8oMU9YJfiaYzH6aLp4UDZVovTf1kKnUug3Vwp62FS2ud55KlC
3IdDlx9kHs0+BbV10pXQ2KFTL/fS+kIhm2N0aBG18EW5/oBJPAN2dHPmvdVQ/e6kMv3SOiZlr38g
uHPwxClpbueUUdJ7cRplVE9Gz7Gtkdf3Auhk1o8YEeZ5Z1NuXZIUvDqSe7TEARdfP5PZlsbk5RRQ
IhrqR6zch3PPgHg828ZI2ooN/Xgx+1w7Fqo27p3CrW0C45+22CLmc9PxyyvAd7SIOIVN6Z1ka9YY
VrHuJVda/F9e/15NqkUU0oCu3cBpcjtR23imj6prqQcOlhCFr9wZu6i9Ac1a5WR5lw6Ef5c3Cjnw
pq7RbcUuxmlgoJ1m6XBYGqYPU+01P2czd/9nxyb3lSpddBVkXedvhF3H7pvJLA3l0MaKm53CMUu+
qWGOsBw95unXy2/i5psvPw+5Kn3Bpizb+fqbj0qMFn7syfs4rPMg1w3ukWbGJx35ux995BiwF8cs
CMN8ePPyyjepJitTKYAuXyCkiJBcr1wgrzBEVScpQ8LxqBi5PGZl2Z8t4cyPemJNe/2Vmx22LEjF
R92HIfsNFq32uiqsYhbMlUncF5M6cqzKD1BSsp0m1d9AcxUdlqUW+QPmvos01uqtGro7gdB1mETq
c9j7+hCB2B71wYoO+DXV3Ith5RY+GQt9uazKK+qlKa2/6yItntTCcD/hLmFOh3lCVwU11nygvk+s
Jr4zvMp5lk1jD5dxKMV34ALZt0wPwS5NI4937PVCm49DZcy/8lHprKCE//et1pNey3zu11r/zJ7v
Wh/g69g/1TGduqODqH3GlA0ha5+0B+OyApTeNyTUrNGnHHCSwKGh4flchX3rR+jwRW8JW+JjPYV2
6GuTO3x5eXvcBFheIaJIwEAQAkHZQb/eHnke22Oc1/Q5eNajPYfts5Uo4rW4umUVumCMM2Hg3AQC
1Un7OcYCAxuMVifOJcqbWlZ7xkS3EDCWYT5F/KIIuZ0OJWma2RmY0vvZCZNzliFkQr6jHsYkhRpa
aSH+Trr5Lk7a5KHQrfl7jHzlu4G59eHlt3qT6yw/hDEgmd+ieLIuz+0hxBPYYO6fCHM6hplGsFca
ZtOqgY2mq7AnCY47x2ErxrAcRwFRPlqBq9PASfPmBXhCDyTK/xfBKb6kqNY6PvUl3qFmYX6HH5a+
CZFmaF4b6XngxSQDZDf4AzLg623E1sLDXi3ze7ubhodazXrwZmHrx73X70zGtuILbUc+8F9Fq/WO
TZWScm+BLokhdGlwKhFMFQzvRzG7O4nOxmeE3gq9mIk/Of0aWUIVERmTWuf3E+rF58kU5X0pHPuo
MWoIyiouHlQnzHcW3Xg+GkpoU4GbZIK0/oy1gfKW1c7yPrSr9rsBxfac1F3b+Yk+o6v68kbVNq4H
+mUwtGmHLzP65a//0zimcUYF0bNpaspGDEEt7WLXtfSLJkuOZjKpPnD99FiLzv0zMCo8lAmYO2Gr
DXpi6Ogo+Wxd6IK1x6hCiTms1D0xqI3MmnEv3SDHsVSwhqsLDDp8rI0j90liOcCndNiLBEspxhPy
C8WnxEibrzP44dMoBP3ZWcmmu5df0uY7WsakHNll4rSKkZUL3KWm1L6fdWE/qJ31PsurMegGCVMq
grX4+uWY6yyEY5jV3ppkU9oVwmgtuULpasqzWzTGQbFkdOROyI6zg3vVzoJ/X+HqHgWXAFR3sRO6
HVo2PcLamWzBrIZ2+RYcUXSUbRnXvrBE+m3y6uGEfWvpBEbuTZ/CNu0vcJ1eqeuwpHB/5V8528Aa
brAo+qggG2ECspF2kzxI2E+HfOghlCuog/yHV7x4WVHDoOuwPtgyU+fKFYO8dzO7PTpRgvUwXQ7k
ICPnoZ1r59vL622daXr7yB5izolmwCrl1+OxHAa7gw8bxc13VrLgIg+p+Wz1eGTufM6t7cr24dAx
cUIKbnVguqqco1EtxH0zy+osNDGftUqvzgUaMAGi0/F/eDiqbCTLaGmya5eH/yeEZFounHC2lsrT
Dc9zmH9A+2k8JqZtfn79a/x3pVWwAlWiRTPp0H3LkPkALEzQ96LvpoX2XsN064tRT6AQtxAirfWZ
15vGij2NknBqysIvwPG9yZrW9hPYb8//4akWzCjdUA9u3eqpJnivvRqBjkrVvMVqkMN+KFzi24B3
5Z5p2Ea+t0C2DaYGaCzfoOQFrTKVLlF638VRFwyuMT3EpbvnVLz19qB/L6m5tVH4DRjgmS1wWPzo
ZuM5xQfrOLbWfCrnZq/Fs/VAFDiUG1RWy2zwevf1mUc/qWJQ1+B4e7RoJ98D3tlDsG3kVmwEkleu
AabdazjJKDQ7HSsDHzfbyu5atYkxnJ2ai9Xb8TF2ac8mVd+cSQj3QtXWqyRDh8IBDvB2XC3tDFQB
l9p9XqT4/QzqdEcXSgTZiGD/yxtx81Vyw4ESYWB7Q11o7NGWbmxn96TXsJ2nFquv3tkDN27eNmRT
ML6oiZkPrq7TGJOksXGWkiP0umPapIjNJmr8cTLm9ERymeFd22vt0RAznbqhaw516hQ73JRb1DC3
zcJKgb7AxXeTsYYd2n8UP9m96bV6dEz10MZ6K0vNU58iRQCoxJWwghWI9n6B70R3LgopDV+ILnyk
2pbSB0rQXci595peW5uNmMMvo2dyC9au0bdDn5UhQA5c+mGwK4YYtqO8l0nxcwhH9Yc3JO33npHD
zs2xtQEIDRQP1Gm39F49dG3F8MrsflR7+43TDsmXxVfo8PI228qqgSkD3oGvhorT6vt7GFfmGGjL
ewfjul+yG6OviCNOvjZCcgdCNPreiNnj6xalCQx6eKEiLXLvHKfrMDEA2jfwGikvcyeUQ9P10yVz
y+44FKY8dFJHDmxsjZ0x3/p9Lp1n7hAIK0RBXGuX1Pafm3FIiygnwS4uQ6QaJyPsGCKNw95XW0eI
ZRVm30z3aOhhLrV6NKPsFWqYML/EWmb6IinLc2nosw94sT++/BZvKuz/Wwu1UBN+3KJ1cv1EIkPY
WlWQwmmg3Yxnow6rhtBnyPfZQCvoVOLK+BjZdT8d+pK58aPOcE051pNTDUGqenm2s5m2XjFxEcw7
vSbq/tUPGiXX2KxNPHw/5r+gsLSQO4AT7nSIN5dhmACKmOQU3fDr5+7GRlSIgRUXUTX1UzQI5xL2
rrLzMOuDv7zdZYIAWZSUA+zo9SpVkun16FU514onDD9n0GofDNml2qmNUCcwp3hU/LRX0nOhu1Lb
+bobD0mCCg6L9h036t+Q+c929QYFB/dmri/oghufFKsYoFl1e+DarT1EiEGtjj7F0v9ezdmR4R7o
Q8n6Eimm+uwpdfiurFVKyVprAop7JShpyQZ9P7enrNW8QBdj9clSpNhBMm0cHOBfVBq0pBBlWOsr
JmNX620c1RcsUvK3vW3lX9BQZSRnRK8F7fFlIVotKTKQkAUVcv1l0zKZRy21q0uH4Puxz3GWZg+9
0p+A/IQhCfI/SK6x3o2pZFEaoYKMpLioTj4UfsZO42kGr+eMoi2lnhjmNO8jxkLRa7cOK1OsLsYd
ADf4qtfPl+Xg+VNuzwtN7uiD0Xapj3d7t9PhutmgrEJzj07FQiKgz3+9SujVbe5qIsVg2en8HMEC
P5+qvbN+u0GXZVBjIb02yAzWG1RmUYJ8W5ggoVRxxieJQ6dv1dIr3/ZCDuGzHrezej8MemOcerVP
cHqUVq4ckceeheubXprql53IexMb+FEkPwuJCEkIttHq2cu80Z2Y+XxeTsbIvaWirTaZEaBXZ2TD
MZ8Pp0tZF7Pjx27q/TKQhgt9zJPV9CGMk0XlvRXCV2sNPcHRNppv2oRz72kOZfypqUuRB0okdvni
N4eM3w0H428rA6bh+pCZXZ/HfWqIi1mZ40Nq58mFXnr4VGfS27luN5daBF44AhyydfxSPBwUYNmK
CxhBcQccWQfaIZw7lDqeX/4aWysRnzlhXGouENnrjxHJgml61KYcNLhHrVG3lywcDb+LMuX48lJ/
06F/mzPLoV569KQRTHGImtdr9XUjmLam4oIQm/67MBGRB5ZieM8KdseTn7WZ/F7xDb6nsLvTextL
etfXok79hgN0nQVV3ZmGX5H2dG+ssree2gw27dHJEqdgWOLmP9UwNDW/b0bjc+H24ezrmcSKbaD5
ufc0my/ur2y1upgXro+WXpUVHIohvThDASFSH1O/Uusq6FEdf2Uy+/e9LYk9B5nW5jr5isYBiE9L
SDITzbybuyl5XOYpr6yZllW4smHXu/S+0VO9/jqoV6DD4zjpxU4995DGNd3oZNpTDNgKfEtrjoE7
oxpuz+tVGqefYTR0ycWSk3VA7sKg+YmQ88tbbWOVv0oV5HA8Czym61USzFxBr/DGBqFH78eF0m3Z
NF7/yypkOrgtAl5cXxWTYg+50UWsok71EZNecTLDwdhJ2DY2Gg105GFpZy7aG6urola8AmlcQSzI
q8mhxQf4wg9H1819sP9uurMNNqIzy0GlJiNbBDhWr07IuLfNdk4veKdMd9D3kLjRMqYEXu/NX0Yt
bo6Jmho/VKDKO19t2WGr+KCj//t/wn/YP612YBM79qI2ml4KrzYOtRFVio9O0wwi21WLN1o8Dp8R
p/H+tIpwfleq9fvl77m1Pvqr/PvvxHe9vh1aIkcGRNASlsV0Iutz67eRmnXuxfaEiN6kelU/NXhT
dUciVp0fDKRXitfWdxDvPP7FlImi+CZ1zlRK2rBqxSVWe3k2xoZATJHrfmi1NP8YixTyX2U2e/rL
G9sMJDUXM7uMj7DeZkrhDoWHYO/FHixjCkIXjrdP59NBehGPz9dfcBSRBJpFbxWE6qrSKwwHqxLw
jZeiGlTd12az/lC5VfR7NCZ7L6VbTshqX10ttirThRlWllWHyFl2Qj6A648OVtuofpM+w5n+WoTW
Xv9paXSuV2QIgEEQOeRCCbmOP13SDpVXmuJiIRfS+0iVDJ+aXOIDJMdEdX1wI3LcgUfcELYI4ADU
CREg72kOrG3gikZVjL6MBaKG1fyECkrkQ3Wc7qysNw6RnQ+nPqvEYUxt7S5apAswB6mP5I/1z2bK
X0tb+/trGGEvP4brxFx1M9k90CyRArioVsoDq313P3pu+dhFcQprXDfxUhTFa3uoy6oEStJqZhMO
+dP1i4cFJHJbKcQlbCUE6wJ3pEpV3J8vB4qtzwvVjDYtLpwWWLnrVWp9Hoe2JZGZY1c55UrYnFov
rT7WWHN8EElXH15eb+tsckY4lpwXjvpqO9kt6XnjKbxLAzFmBPmKoxV17llB9O8/LUVevszsGIGs
7md1tEeldKVgdqpbvlWNP0tTg1DpWdrOvbZxRy9DCZhLMGCR5FyFgBTUtpLhaHmBnpo/qo4y3IcI
z969/Oo2rjPaSUsWvVguk+FcfypPrZvOGSi0oNXP/bs8RInSH71kro5wN9L6YieRoR+8cKyce1Tc
4j8vr69tfDsTTMoiZeuQW62rhtlsHKeZSeVF7uaWD91BvYuUEeMIZa7F8NUALJN9yasiF4HbloCA
E2WSETrmnlM8T0lqm4cUCdommK3UzI/5nAv75JWetgd32vgg/FLmbIyzFtrCapeB2M+NuObsNA1V
DZps8oHmxs7R2VqEfQyfFdAey6wW6UMTaWSsBy+Ja4Gfi3XA8vO0x+zaOKBLbckmXnjHdLquv3qO
U3TfOjMujkPtfEA9KHnXWGPyY0LT5LkiV9/TWN1akFAAxgKvECiNq83sYPelxIAsLkpRVIc2mfVz
O0bTG7ik30DBN8eXd9Xf1HJ1wZCpsxKIp6XCXx3TMnRrfSj6+NLKqngy7Dk2AY1hNXfAECL/qA1h
X7xxQ9XGSJtp7t3QzT3a1+Yw3dvTrFsnoxPo8eSLHv2PNJWGxDQjjaeD3cre8NVJQHFq03xEZwbK
EUZ7mhFHRxuMp0Dy2TXow2CAq/i5RIQ5KOpIpNwnmRueMiiqJ89Jlfq+Cl2jBQKWpcZBpk6NpQPm
ZM6p1sbitdMlIj8N8WVIR2eBl7J6I3TiTReP9+hSTACVBmbiAfMv4xC2zbQTI7c+9iJpQTgmT6NB
db27Mv7SQHsV88zRmy5hruef2rbIvmPsrQaJUPT/srvoZdI2sej50yK/XjDEdNSUUafcDVrnHADT
vY00k3rTbPr7eVbKnefbOqO4AdDr56XSjl69SjRk1K5XMXkNVbU5JAYgxLKY853IvBUY6fEvDHMQ
vDc1mlplZVR5tnKn6a36w+or7aGRdfNhMBLx8eXjsvVA/y61fNB/2sG4Jy/saw8/WSNrA1MR8uwU
SX7+D6tgw0lTAOY4g8XrVWx7HuN+sZONshrACX3xMxq56c4qGxcajAM0XGAIoq90g1FI4jHTzDy6
hI7RBrnQFESv5uQUdb0O3qSOz5GLumuUEfNefr6tbe8hugGrDAYCEKLr5+vUVseUlxPWjQsFgSN/
LvpM8z3B4w69tIKX11t29SrG0br0wEktvkv2etd7eCZThzrxRZqT8mQ2mnsStP9OU6RVQWOn2Z01
THuqq5uLaowNmQrxX+seVYsTQZZabnwBshAexTD3QVfH1sVtdecA/7m98+ip7hS+G0eB8fGClFqa
tTeiqE5jV6GiNNGFnaq9LYXdUuw63Wel94zTyy91cym4wGhkc81zxK8/os7ssHcz7t8cMuCps8PM
l4qM3rpV//s/rESNB795UbRau9WnuSctWZbRxbWqqgu0JDNLBmyF/Ca7cNgz5ruZxROqkGYjwVtU
G2AkrG7gaYzishVxfGnarns0XUWcHDNjzO26kf2xGdykPFpynmVgho353SwMlBZmyfD75cf+//yQ
ZfjFYWG0uOywf4JNVFYOwkN5fEm0yjjEWiXOZZh2p0EviyMoUoUasOp5FVoB6NOSRKWwq48v/4qN
s7pEB+4oyK4UYfr1j4C6lA/WaESXRnSdP6bOb2nojQ+b0KKxYr9WMmN5+dSe9Cj/ooHX5JasGEw9
LHrlTln6e4di7BK8u9v4Z4t54B44eiOas5uYc9FFXtSKV3FoLOYKAnSp3CVyGAJDa+r7Sajq5eU3
uHVQFtUV2qGIu9PhvX6Dk6zszsp05Q7l2aY/WKA37yaBMJvft4nx7eXFNj8XdZC3gK1vx13IxNsF
fG/lLu77ygryFsHNJtSYgqQFcjkzdcHONt1aEX9OBF7QhYTZssphStMZuVtqbt8KOuMjjMYOj480
Ct9C3ZsQysiko+4E9K0PR33OCJ/3Sj6zij0Vkgqem3XRJU1SjqE0PRw07b1VtiI4aRl5BZ2H2z52
iPEuoz1S8TpXOlxKwOhXeCto1smFifoAmQLu3GzEe6KJGxtmGTWj2AKXDEnc1Rv1BppLca6yLa1U
u4/jIjkKY4AiDGxg5+PdYJ2XvGwBLiyoWodSbfm6/8QYBQXCyUv75NLHkVTPugzbCvpaFs5gefVa
+YwsX2WfDKnL5C63LaUKwrxBGAl2CZoPaqq6H1U3Zo4aCaO4E53snzMQ9fYptUJL3Ukctt7Mv792
FRFrZUqztpHJBb+a7mAi4IOiVqv7iFb0O1ts4+ODoWC2hC4E8kzrwi9rUqYczKjp/8z9JxWxi6DI
GR0vtPF3RVeah6Ztu/PLp3f5sqtEheY/+CHKfG1x+r3+Gnnf1RV6afHFyb30qR20ybcVLQ46YeiB
a2fKQSep+sbnUQ99B5/y5eU3jjKoHAydll7jEomvl++L2G6HNIovtp4b+SGqMwanwEqlfo5GPUv8
SXW6vRpoIw2lPFhQnkuJSBP3elEpJxWXsi6+eIqeINNSNCdrGMQCWtfYRLRYNYGAd+jEr/SlXaAB
xC0MpjhiNk3y1cpjVKZCx6DsoqDd8q5A/5WBX6whXQav+vVvFuwacNbFqYqxyPVDOpONkZVcZiFp
uKT0laGdpS3g/ZR0LiO1mndOytZbhbi5qOMTvrybnlgnUwNBmPQSR330BdmvEsBVBWnB0iYHYlPn
geAlLpyo3hW5s/jff/pqHyOlQqJNzbcorK7OqdVpIVPtijfbxWmHqzp6zIcMk1NU9BtnrJH7KXrm
nX0UHww4lgVTkFjV/dpw83dK3AzPUa3gGScivcnfjVzMkMkiDQ0to2vFUxgm7ZNXu/UbPeT/FpSl
W86n2rWKfOdEbFw0AOIRiCVC2rft97GO0VCp6I5UZTq+s6ZSi/wubvZINVvLeMxMFsoZl+g62KTp
KBKlz+JL3ivTo9v1cZCbTnx6eRNuRE9ngdyQ6tBeuhnMQKGZO3uw5aW0sIQ9GNizSt9TShByJm3h
7y+vpm9swYVeCcCH4SkIqtU11jtFU4plWBIajRudwqZEtwqEFgI00hy6wI7LHOVqo4f+NulTmUKh
Mb0eGzIEm75L3UrnE8+RZIcJVYffRujOc2COep3dOYXDP2CU8HMxu3TD5lyA738a8C0d3plqHA0f
W9uORGDmTl8HsC8j5b7iY3Jj9V32YEZd/oTK3ly9/hUD44XwBfSOJss6mFXooXZOZ0iy5VzOQVj1
w9mIzLi8dCl/7txRNwxfItgCxCd6USJwf68i2JzlbT+D+b+EcCxdhJzbTAs6qUJWypEARklEb+X3
NoGl9agiNaGey0hJF3UIhwYTpmuN6yt9rXX05w0thtckyz25/Y1dtzB2MIshpwdBvfqNObqGsD0x
o4Ryx/dXy+6kjOgzWFlm7kTZraVQGQT2icwK1girpVqziOMsw4HSEqZ26rK6/RXKMA86fc7/vLy7
N5eCjwR3hUqF+dB1QI+W6XYZ9tlFbQv3NAnDPrRK4ga2yD+9vNLWMeJ+AiBHexZN2lX5MISiwwNL
Zhe6Md8zmbhHz55cH/2R+clE9yNAR1kcBq1Mv7288EZQQmaYtjezR0Bw62QkbK1IlRZvsyja8mhM
k/NmAvz1+vkt2c4yJFgsLW5QpFljZjlK9WyPKMnuZqGU6ETNzhskye0dlMVy66xuJZaiH8nNBERp
HWWTVg2lpqY8kBvhYSaHPKhtKrKkmzQuICUOslItnl9+ixsbxQMBwQ4BjnCLdw5bhyjR4yubTJCv
u6gJH1Jt+O7Cct55vI2Ngh40fmlLjrHwXa+3ZJvoXk00FpdhVPr54ukFfAKE1KcyqIxxrt/MaTGO
b3ugpvbHKHL1cC8cbeSPyzSGoMwFQzW4ivjtVEs1KlTcbVUz+RUq9OzvxBinnzQ7yxb7FVt+suKZ
Tq2VMzz+oEwlLrQ1Ga/td5aZvNPbzC5QfnCtBzBe0HTLIYpMPwvxnj++/F02NgNFD4NJbkSTzHOV
oiSO2XepYJpWkpKdJSo9KMGI+a6wjDnI0P45hMnY70h3bH4iQJpUk/SXmDJcfyK3hKsSOr24dE5m
fNO8InueinygLjfjc9q04lHyfrneVOvy8uNuNZPIMDjFXMdUzOul6R5NuWrq4qI7U1z4iSzdxMfG
dU6DLMyJ+tw0WXbo5qLMg75HGT8YS9dAqqevlA8v/5itMwEFYIGOkxwyqLx+DW2+CBE4VnYRKI26
PvW9/jWJzEo/AZFu9xR2N+IYNGwcZOnFLunP6lxQZcu4KLmAgP450ByQk5J6mB9e/0zku3QjFm9n
GvfXzxSRr9A47Fgl05wnQLSGH6tTfoy4F3e27tYxIxldbFnwd77JFsfSEpWCaejFtDBfbCRCdIEx
xs6XUQwIrAq9y59f+3DaYjEHzhYKNojVVfkyI7w+1F4qL3pWazRCzT6rD55RtrjlzLO9s9pGU4JM
mOknjWWbcLYmpuQmbUAFRujF7d2qCLoiRa0qR8Xqs3BDKhlTNqhHtbhnl09eMcQR6mke8PGpthaZ
NC7iif5w1IdHTAvT+GhX5pAfq1xvQ19aRmW++oNAS7cXJRNEBkDNr14PxEiIFgMITgv00THxRuve
EmV5x5ES71qv3aOLWeyl64sMYPnChaJeBte+JniApyvpuxTpBfUyIyDtqIPUnb273Oidu5e/vLbE
7PVaZB80SGlGQfNYxfSorWwb5ll2IahMzSHuEIK7w7SOYnkkTn0qKNu/hVlTFefZqRH+nqBrjL5R
O2mEcnNVCr9qZWwjH1aN99kYeb8BMdWdX3ujCo8hGobogA+8PRz6dOA23vn9S3969fsZiCz6F/AM
ACOsvo0zh0bpVACoEker34e02+CLkdf55qTPdlCHlvk/CkcPFpT0iEDCMdOPUgg5Pdp5lo5+DJ8m
2Ul6bk8wUoDsb4AxNN5QALsOFrzPTvOa5apGW++Tlii2bwyed+xlrz2X3fjl5ZewsdzSuSfgkmPR
DljFpkRRhyHDzBNbaeqRGD/Mt106A2jybJo65pzusWaWf+DqpS9KWAuP3N3AyqQmIR6RTLA/yIp8
GGIw2aOqTsdpNt1zKCecaEwn3cl/buM8mGaH+pmZIodxPS4JSzQNu170l1Ko1XHGjzeoc93ZuUiX
I3b7dIxMKWrJcuDPrbvPNk7Dai8yD0n42ohPSOal0dt8cqyjp00KdmyDMmjBEI/ON60diuYYW5A7
D0NT9ROydEr/W1KQ6Astzf7ajlb0rgyzWL61qmaMghqdueoRVknbBAPy8AVj5jqOgPToUXMOp9AZ
sLNvx/59M+QZ7Ou5y6mFRZi1D3OnyjowCsf7gd6I8tWsLPlecstGtPH08KsbRfHs2xlp1QFJGuXP
LBMcZnNcLt9qMmp/TNOYyUdvHsdfltb3KdQIC9U7Q8DrCHiUGO8wrW1FAGCs+bwc4dgfaYtap6q1
MKydPWcS73Ozyj6puRRfnVQvvqIBntbnWM+az7FLX/uoJfM8I204YAbhd6EQ/8sUlEMuHb0hxXc9
XGf90iqz9uMQ5q3MfCSChHkeBpvRiad0U/kjQiJM+NNUWR8UtXB/JoNXWfDrHX0460lli0OqibZ+
FAqj0kcJXSo6dNaYiYdFME19ADRuGD9hSieKr2vaMP8ioiHAaVWZDlwde/AwSLwpeyOR0eLGq+tS
Q+IirD5KSwkXaRV79NTf84iN4p2iV4PxJjUKZrPQY0dVJzQ7Sp7VF7cRAFN/4x/Z2QE4rHwk3zWs
30wWcvuBAn46i2mumqCD+ercjXSc+rvM7bPfcah3XxkYk6lI4AxIVpaaejdm/A0+KMshP6TtpI9+
3pYOwu5g7suAdthQBQCIoj9uXhom2tNKOvtdLrPvxRQNlW/LCHVGlB7cD2kZahmIMBl/qaywRHyx
rbNvbZ2YWaC7DTn5xGXngXEDuHcsLCErHzSPNvtyzoDqZHXugbmaDPk7jGovDjQNsAdw/GhCbXIW
Xnag3Tt+DqdYe0sa034DRNTmx7hsRH3sM5Te/Fp30QW14zDMAtdriyqorbn5wxlHVhd4xRMqM3mC
NVVrPyp55wK1cxg8ykITWkAlIoI0LO0uQKwueVIaPLt8q6mVDn3VqnsQqZsVPv+pP0eVyB5S1FRR
Z5Hlz8mwpXfWxaSVh0ZF0DPwhtB5StrCTn0l1/sxYPsjoMr1oBqo31nO/7TeCL/OehThXDQmI963
IitPuZoZ2aFVuWce46rSIZeI0kTTzCHLVsuheeiSFEEx4UThkzaryVePKzQLJuxQPhYiTD+pVoXq
koIoVoAoujYF8K6jX2YyxAr6NpjnBQKWZeQrqJxMh1A4uXtXau342dAr4z3UZAMdnCISn1H7sZ69
yOyGYK4m+20nQZYe4sQdfhWmMul+1xf0L2vXLfBQlh0+M1VTplGgOTJRD3HRTyiJFnOv8L933jF1
uzoM+rlI32HUHGk8WeJUeK81hVUdjKlJpl/Q9jjKjYdnxaFg/pfdKW1lPkpGZu9mvEgOslLy0i+K
bph8YIfmHLQ99N9DwXAPy1s7dwOJc8sHxbDr5jC1g/4OU9KMP6y8PshydmUwzoMVB9Lr8q+JqLM/
olQQ+/TyEgVad4qcll2Y5++rqULrzJqS7kuM53wUVGMkZz8fVA5IX4+IxybYgP5EvblAWZRgJg8N
cpvhqY1t+7OtpsOfxnazz0beifHY2n1rBV5jx++tUrGjM3hyiEBTXnXRIUZ7uQOiRSPwQMLvaWQ5
Udj4Q6ToZ7MRMjoZBUMk7Oqa+s0odFUQ6eTwHOo6za/cJG/2Cyc1fiVqEsXHqa6m5iTE5NLaYfry
DeXzFC9GWmWJ32Gr+NwocdgFMrGtL/T36vaIkFVd+PAy5z8Kc96Fxja6sz9ryvSlGPGFCrxIkXe1
SVEdoIKJxRuzPEUcbPaM52tKmb+H45Z+BWABBqxv2h6auae23/FmrKYASTb1h0179ksG1qLy40YX
3zNrsqtjZGaEB29ojdB3EtYK0iRZOBawzSw/DZPyz5AAITrUlp3iA91jwxVUrpq9g0+fP2mwEkbk
Y2OMIMnPjc8wuelBqpj1lM9hq9o4GKL2+GNeACYcR02pcSfP0+SkO6VxMDXZ4jpd6W0dYJM+fi5h
6ZCaWqNiHSMy8eYgkCbvDk5dz5o/13o1cv9hZnvGknV2jq4yOGBwHAX4AjjVUPdNs5wuBeLL4bkp
yoXxh2w5L0Uf6fgHlkCnMchLJGCPKVYTn2kPFJUPiAmAXlcUxu9Get4b2EfQDZ0JjotfyQIdUCTB
pydj7MtHS8SIPJtRDbiJK1K8m/R6ejZxQH8usoq9Go2J/ccNyeOOxUw6TewQ+v2Yik7lpozc6mSO
VWj4XtmhC6BOas6bSf8fR2fSHSeyBeFfxDnMwxaoKknWZFm2ZG04bstiJpPMhAR+/fvqbXrjbnep
BHeIiBsxhsN9MK/hbVsvzZ9aUBZy2zVNX+zdOv/UxOr1527lyGUF5hd3rWyOGfon1Leb1N6fmXS+
oVwlf8NCPmZLmV/c+jSpxH7J9QhsLjjsAU0eNWXQ1SJ74Mihqst92ZOL508kiwTkwU8FllTmXzRV
Q5Qf0m2ac7ebZOQtq7MvjrjVnk9UEyc/yGCYixEZYEPmaDsPORz0+EUk53owWzQCLFoM4dX6IIhM
4dWqHnLPTtlTg0/Q3eru0VYQAD+qPAzm7n0dluafkL5dyyoZ0x1U24nxmXUF73/khBOM0xAxYGjc
EEdIls9+5vech9gGPx2pv+hiZ2R+qRzO4c6a2n+7xFuVldtYMRzLq18HWOG+pMip2ySFHbR03Tiu
1JsfEgCCCKfuX9V+ZMMJPxJ0QmvrpE8Sv4G1TLaKZ1L4ZsNQmWu1f8HkTM+9MwVjHo3haIs6TWVf
WDKEt3Lvr1ULFmP/vtWijW86v2sfcH0znJi06qrniNT63PtTvF92wZH/mSrhPqeLozaGAm8/iWWU
2SMrfPc929HhnlQ4J2M5RTtSt925yiXoNzsV+cDa+eS2uA/msnZpO3UQk4AzLIPb3jsOlsm5UWKQ
heXYgv64bpJXlGr/bzpM94xrDdu/Fza+LBaAM//mMNP2mXlLfdHxFGW8L2Z7FfEuvjV7YF5dd6QN
unqCf5hmPVe58KmwxYx2yuZj6NL8nb7HcSpN0B3Eysa/h7TjDXMPFdxVHXmq/ARAn4RmUpQLb7By
ykOnWa92liJ+YJfDKCOpUi3LsAsW93T0widrqJmpiyrYoqhEpIOMaMCdwecVydInRECdx3/UVD2G
6FhR8/g1zr3GlGLM5axX/hAv3CcxwNvRZxJiuSvCCzCoNaDn8GcDg1en6uqf9KOl5TKfIRY55dhF
+aB9npVqX/rPhc9W5eRKeT/GUdY/nWjJ3hPt0uTrgZq+dFvkXmyDGepZHQZPb9TBngKhlkRfKL3F
Dg/85EChxJN4XzN3lSB3/XIT7qqZbnAYD15HLNkC9g+vDXKpfDSN2UJc69mdnRBBN/lKQUnAADGj
rp2qpzA9cOnBB3Yl15z5XeZsWIPK5e439txA1ZicBKb5Ou0m7pI7cdT/t/jToW6msHFextFtu1wj
VP/pXQUiRaSOlQ0hRj6eo47wbwgx3+DvVNvj07PZ5UeGv7db9CZdPzTOVfdNwmtX9CoY5hv2ZPzV
OamgkzgsOz3j4Rg+YpQ+wQ2mjYdTqePZy4jsTudDapfXLdIRn9qNBrfg3sv96GXX3dm4sn0xkRTY
FGaW29uMaA/jRQ8/zzzjVHwrmkXhJor+vpJF1du+OXkLg3iRTWw2JY+qh7M46tu/Dc6KXqGyNuly
uozjPngOQpBvLAfJkPudz7Ab4A/+Mret0NjiDP5fzs4jRpAMX9k6meV4wvKdhyxszW5zDD/m5xpJ
o8hxHqj+CxbP/DrkqLZyY/iY+J6um4AaN5KY1r03AOfp1qu8grREfTPP7Q/8gbInmBv6/xHvWNFp
xqQw7+as/mvmoPoD7emNRZTO7lrEVSj53/rt/ijgkT5VGDFhN278Mjoc5+aTo/rHWroQsPsUbX8G
EiT5mjzuoItQSG3LncnrP/x91BsZU9I5W+aRd+fwli8ihcaeG9IlvRZpArvznunlzzis/Hi+3lfQ
Ze4AHiv4GIsZ9tD+ZUXbvgY5NNek+YFHNBylwrtJrbPNu4YEFl1tER/YWg/TloEdg9CS31UVmAcU
DVFY9JMc/gapUH/DOqNrDKHVA5nH+mhL0znhe7iwmxXhlth3FloKGQULnWRKeb4nGCtsi91r16Zk
zJPX72fEUsQcw/4RbfEscXw82C0j/wg+OBRl8nHa1eBRGmUEa+1kF723VWs/8dhCytGNrE454hTn
iYk9Yn1d5qG6rPPo2XxZzMaveYjm9hTIGtfCEZ2loStu+++x7Svg9US5TkGD7+6qbBJUG9Xv/zm2
vtqxbrr7PnlIgYQzxr8aDsX7s7R7xjGCkFnwLSWMQ5YpORCXtFKmL5k7JQIWb18l0QXYM+Sb2q8Z
KHElJmQn/sLmPIZEeeAYORRuFV8B47GmjbcqUf+6Hg/A3O5Hyw4I9jecrk3743DCzeQx0qC+pEZX
j9tMomocm7ArI+0ML6vvthMpEpH4JsYsYXCfY3cuuCvw7wMONgDatEE9Z5kef6R7vKhCW7u5BZIQ
h/bn9MtnXx3cpGXOIaKcJXe7mbps9nJGK/WTcN50K7DMrdrcUcr5M9A0/qu2WHz0QX1kuR2yhdof
CVyDp5ipyws3L6X8SScrukHqt31IInzMnU0lZ/r+/qNzRfsHmcz8PUm28YOgBS+5bKs3myIj9rTO
dbxLOsY4LaJojjGh/I/IgfORDYfluG/CP8uizGNAHAOMylStn5vsx4Gt+7AVPgIdYX4DvToq3Hmz
zwN/9jK0TuZc4tHbf1fjmL1Uq+mysnIQXvEmzIrOHALg5/8/EcobZA23a4c9beEMS4AcLD0iv7R2
an/2zL6XbEyzD3vEIXU8m7qIemfSLieNKvuH58/c5wyDSp0yVYXDGV8EjOKDtKGg7mTPvzE1evd2
So+F2IPI0yXJnFqfCepI/2xVt3+E1jd3kdchxpnreP+kXPOspCbif5iNy0SVRDFY5x4QwKfZo/Rp
SY75KIK4a/9jPsrCfE+d6Y6jDJOAUiwoDsAD5uq2kQc4kp7dw166zHZA9m5H94ixmsxYaIPx0rGZ
bzdKro3DUXzkeKdGD/oB3cq+F61JW0FjmoGgJqfmt9/N5Gzm2p8G2lmw2/TbNXjw59Ko5YmTb4ah
Ixybe4Zm1jWirOoJlYReR6zVfAC79nAC5kKUfkPeSLHq0xj59XeXdJCbyffFiz20dkovm6Ysr7x0
E6WtGuxnj3S1EwYRadoWTbPzdiycVACXrf5+SsNm+O9YvezDdYzqimbOPAjZmZzQfE13n0zQFJC8
WBYZvOLJLT46k20dr2NqLeCzlu4te+NimVitaovaKNcrGoDlOo/STf6oQ8m+Ea9z8+g62TAXTHSN
c+YwEbaDO8jopWtibyoHfzmQLwJw7XnoxRiedMkmPuNhNTqv8bSj12ep/tV3W/Vit6CqSkgG/5/m
p3nsM597QqKU0+9bazY+49hdr5H95KNCkjXmfcdSlusKUDsPVVb/MYNa6mIUs6TD1E06nyRb+z8/
sGlTGikEbcWs14BdGXAWKhAWP1YBUST5DECjz971wu7OHPP65Azd2KAHNNmzjNVCgXbcA2AjUYEp
HdDW6XREAgPpDcbby93x8O/EIuKQD1zF73i5cM2WDuv43Qm95mHLpi0G0dvEW7IvOizcuN1ebefX
fF/1TlCIEk5CPjs2GhBLS70VNPkkvqsCtX3JmNTsUqKf+5LhDixTh+6aQStlFE5lhuVTRnZR+W56
/57JjKzU8Xrql2ctGE+xTXJ7UoyxH1OGL3SeQMb/zI5uaVjIdSdypv/04+o9+7qOM0NLtUmu4Dgk
YRfrCQ5/zjLRNWzawvdOIWFoMSdVifsDQtBRtxN5cHOeVX78OERVcJfw4vrXPJXlY8P9+j8mOP8r
GHe4gIbII6ewMsDIR1ZJ3zCxHZ66VFPrfuOGVCqE1ZXYytTW8k8bLHsKhZbVGhOHLNYnc9Tq1wrW
RnxAWPfyxCwAtJgsR6vzZmzmr8GdXQ0HVI1/V1VTPgcw27S0qXB4845tfNa913yh0GHH9udlfSWx
b3vaw8b+5vkIXmL8cf9rQDn7fNOoQ3MvquaPEb+Ih7oWtX85+rX+szMxpoXqdnjALGEZy4/eF2+1
XaffR++57+RGyB8Kr6B3Z9Qqvlj0g0/c6yd/2raurtGVpD2XMwjcVB6Ot13QpaEqZMj0/x2owH9r
TIzeh2kbtwKrIxZXJlX/c9zB+UucpGKeuYWXZEmDHuM81+tfY8JrUG37FaISQrQiN88ao7N8H4dM
FZG7bdslUyAsjC3C/IK49r93SSZ+LBEO2oRoJv2NGV1iQnu8QcLC0ky23DSBe8DveofOdxvWr5Uz
7zU8nN+92axxKJubdYOTECr6NznJDpwK5fN+tMtIzRhaGQJt96R1wvnYOxnbLUH1kJhfXu03M0Wt
DkgU0uGa5jyXSJ756bAa2Bf3nkJEeWsrUcG8Sm/9QkpIVXH3JvEKyCXhnPm+rmwfj/nrLpONfcGw
5dwGcrNRvgt4xFxm/ZaSyDasHzNXA1PO2UsKFtcxy+YDrMCUE8oVLuViqDD5iAC7hTIhGwygyx/+
aQAG8GzPRYypdDCdQ7SFXhGaBRP5vVGc43ImQmmcMU7eQCJwVckjgMK9FKCnNVKSYXhe+rni+7Aj
FrnhKLKsqLtZ3Vkfezc+Yrd25ZjUwcMwj1lcDE3v/qqIJvjS0Bc/pnplxjDkDb0sKH0VOGEkQsqT
drIyGIbpzTcEa+Ub0QU/1yVYg59W2fBlRkomp3MqIb3f4Kz1v2W+BiYx3S+BYGmm10WXuO3kQ+9n
C/vMPKp7r0XPcYPdzjqe9lVUH6TpprdMhttIjCsaigK3ZvEZtlV3nEQ1pCqP9xjouXfGjNVZrMvP
WdsGlJWa3VzWxCwPmTHcguM0uX41s71ubCyI36O9l8976yUTTgcqsAz/3fhgpec/9+vmtqeZAy0C
nITev7oxDr6JJtlfI+n1byNPaVQeyWyf9y1QfwRhVr8miHYQtDZm3ZyCbvk5ILcW94meUsVGNFjW
ytlneF5HrwMSWteIXYJC2s6PEnRVeTeDSIO1B4SJ9igA2nd3YVzUTIlPPKPTq2so17RMCVNOtzO5
uwiD+1OjvIqdyyOqVc4D6DMBwsmUO+nmuaWivv7snD54TkFOGTeQ4vyzru+/kUXkvCs+i5dPblbt
8ELa4zyRbf0zMUEIvcKKHBQoDro7A6YlywYjZHBAqsyjcf1BcIXl2/nUVXwcWI0tvuM0YgrPbsOB
0CdRa2wDBNMuBte5amWSyRgoceRio6c4IEMzeLhVcVs9RlvobsW6j9mPyc7bfONvVbJf1rHr2Gz7
0ZU3vmWJO0X+uK2nIZjqt8lBJwt8oYB0hsM2ceGKLOpwrW0O882N6646bWSDZOU0xanJWy0TwpCQ
YqSMJWZ64WJjJw4Nvz+k2Inli+jxOf8BECF00WWDm36SWBHBCqaNcu/04h1RntA9m0JL0mVOJq2G
npeJMf0CMYQzvV5YHOZYzmM5j+O8g59yunEKvMllAWxrFzeubEfgcRaDt3nPQZKtSDfpcW/+XqWA
/1N0dXWUmKC7p3jstl9rspistEFiuGCOobLyEPHF8cSvb/YLE8O4lWZN5Tea9vi+KhvcZN0w/+3p
YM3NijK3P6d2J2QwnufsaVz12Je8LEAInZ/MDWtG3Gcn4XEtmrdLxIDYArDL87U9ere1Jcv4oWNR
+FsN4fE1zGvwW5hmF2WH7zfBmriziCIbuFXBde7wvqIpZLLJgcNMfPES6ZvnnYj04x3QY9MPBxB4
fAoZYxrizmz9jyu+er94UHfjt/FIgWUIz07GXwIPUv/szVhhlICC4XyLtLirz2uiGvEY7rLa8toe
yXRrgdMVm2i4JwXvBUMwaHS7341BqL13yhYbDUmxLHF5a9US50NLD37c3KGNnh2CmKA8nWzfzInj
0eGVqaqKb91tFOpJ+FeBWJ9Gu1+Orjg+RQsU+Ge5Hm9eSDZCke23LsRd07reKaDkdaeWxI2gIE14
IG3ETqN3Jtx4YTfl+YFK9Swmbm0VroZ/U1ThHW5UsfmWXYfun9Zv0u1vNzgLgYUwVzrvWR/5vnSr
t0e8V0knHoXbKeKlhyB4SLaNFBG23bEvOI/oANKtbXAOrej48V8RR8SOAeWPdTGkGn6kiepsPcFN
ZL+aPXPQAs6H/zfYQ7294P2vl5OwfZ8VzroyouoZJrcYPdH6F0tIs33AYNbxLk7XQuo5itJ7ps7N
X1vgKPds5wrbBgMXSsyjZz9l3YGD9NW+WYaXzPta+cvXeyC4uT8HgJjmZ9JQgy77QXYpbkaR9yRc
rs8KyYUCEy42PEHhYS9i7n1nam8WSVBBiV3Pcu9NlN5PGktqC5inyXt2iPoJiiaVmfMcMsBJzBqO
ZX3MKptCUfL+2++eWJR9AKtOwndc6+PkpDcdwrSI3bd3Hek65oF3wCOm8SCR8AROuI5lKLiSz9dV
R+5fD55blWkLNH8b2GGQt8C6uAugv6eJGO4RNHWLZnGjIiObMopbqy/+gpwo53Jl918H4CGCiXrr
Au64QOnFvIttepgSTS8Y2GN1adWEQH3Du2bMB3lQuRFKuN9cb+0AndpA7YUv8a1mNcIg9S4DePs8
5A7HjDZdE2hwLFVwrucKJ8CaerHeT9nMcwTFfWwlxuy1+NFdjyfoVS22ONuyLU4p4j7s+ZhLRVgX
moB4KyphVtKSjjUsMg6jj5wHzsQ3OK135qz7g0yiKnOH+uRP62QKFXZLX2ofauhU4TDnl40J5/2t
T0ffhawMl/iV3DEvucvgVlkS8TUsAmfig2N5bX6qeau4cBGI24uVI9Ot0EZuR9kOKz7rudmN2e50
pdq93I6w7U5c1fj8WPHBPU3jKCseMztFL/zlNEjBD/dLG6u98jBLhr0FvP4nm5R+xASp3m8g+Zq3
sLq2o2awqXvvNptrzzKzTBaRZd6EsSNuJm/iepR3XW3oi33jHHGJAuSA/TZJIPcCGHUO7vCwDn+E
rLeo7zqDwV0OWNlPrA3VcvwinWcec59wxAp6YYL5FdlSVWd3dUP5EyJC84tZu7H+BpCBCkC3xoAx
w2/Fp2FrECKiO9NQ2fXgrb+A4Zv6TNgPbqNcSsRzKVMOh++aiHy1x2lJnIcIeUV6C5wQy9yRbut9
i8A+fi5rFQGWNgjC4FC1QwVT2QQ0F/bhfm8SlIfFsBN/BbYwShA6b6yas0nqeMy7lm3yTh4RnsBT
33ovILOsGOOg8NYz2QSSOqpKfzShJ45S2KOtijE+pCYWRoRt2U3od37j/M3kG0BPdXkSDNNwo0Sr
3aes54byPK5j6j64+N1RwVcgAzhNeBKmHk4DgujECIGpD8lOsbnwMB5zuSjNaU/TDYC8Hspf5zGo
kJ9/j66OHG+9aZoGMhiv9ugku4q9N0R5Hf2QhNOt5bJiMPzZmSqdIQuoowPzOfgN4KzLgz67LGGX
UAFZPh6E2LWlg/A1OJnIZuZmqkO9nDP0gc2PRW3XdFWu4qbz5uAkLod1FzfWakMMLjbuSnWpKv3W
HLCK6DzKoPGiiaz0TshbutyI0pDg1DpvjYYoVG2wkgARtOM7eFcVFy3hGk2eEpn7NR4mbjEIGJbw
VtYKUyYip4dPKT39ZCG/3rlt3/6Pm7gQAcbswRmo2PFvWyCh5jWts3TPrQ6TufRl51R4CTESb5gg
Q3qhLgjO04R14CveNUjWExFM/7pFb8fdRBG0J8e2JL6is+pvp0pC21heN/8F/YUQbjH2wN//xGCH
7sLFaT8WCh47Kf0pidfzHELTc1ZGZNpMMPDR9W2cu+66yocaW3HSXlIgmns0r+16jjsxfxiFNgqM
amlBFjN3wj4Da8+KiljXdaH9gwP9YT3UG9vEuD6pKGvuuSpWNVby+xqcBSAxKMHaw9vq7PAmZDZT
UJXS7/s4V9akqHtiBSioZzdM8oirtDHfnMA+tHD22aW1FJPC01CGRTRu/n7jz4ptbnF0u5ynfpYX
g9iqLgIM+Zt74o+dsawWLoZvUgyyUOHuU7+XUZosshD+7h2lqSOxFHAMdGzafBvAa4eLU+xRUj9s
cg4wUp9sCrKX9c2jQcKJkqhZIn6wltS5uPVMcCFDUv3uJhLiVq6W0cK0fG4PQ+DxfLBH/WqaOX7c
+dxTkVXpwvZdt+LNboP/BxOE/iWMBvlRV96I8mI9wuP5qrxJH7xgBXRFu6QxsQH0JoRZpoIAWRxk
P9o+kk0emHTQQCBO1ua1jrPjcmzO9M9rebHPw1aZ6TypNoouvIwmPflNsg5nnCMQSRmx7/LiO3G/
XWIUBbrQbZ1EZw6CdPW6LizLpQrDa0OYjPvGX+ape8PA6v2x0mQRIQyO55fksRzNWaaxzs575x3y
ZanW9mfYhby6rVDV7z7NNAjGFgYf0D3ouDpsw36YHcDwtNU2+lA1JyT5zIIHV8zQwitPYfqlwdya
omrU/GXJbBnLFm7oEUSwR1YTm+QZawCFuCGN1u4Mu77xJvlN5eZuIFr0RmJxJ8wC6xhkfHSnn43Y
MgKQY/mFajgcHsLdbREvj1w++KsYiLsWDRhb5LaSm7aZT/bDRLNobpBuCWaAFeT6dUmupAWT9vI9
tvP+n4cWZ8RsMmVnJUxu/oSg69r7YDI0/CqOdfgt2I3W7xa9JNFvva/Di2qoL3e+A8R7qQ8dLOWs
gxXNjG9HTlArFpsOSGm7JXHZ/MCal0fUcWL5MXLL9p9Fef3dyXByLgh/FS1vZFMnN92GXUDZzOum
f8mjcsOrOitYbxY0sdOlkuv6cph1ZJ9WElMYA0OflcQ2wh3VDlmAedq0ZAVIyXqLmMPu+gYh02JL
Z53dZ06MQMtEMyt8Rdl3m/PIOvhPrOkGObUnkNGq5tH72xN9XOeBvx0+KOa6zbeI/vgSGCRkrqdp
H89BY7ymjDcT/ma/QDIAiLaPvxZhLB18WelJS0oo4JJzGyLwR5a+bk4LIGz30BO98qux/dCXs8g8
99QnixLvyVxNJCrNASxK0MOb3bieCS3OQqP7n6kswh3E+NGBpMqu/2njHLgpzO1iblAKEZmQRFGV
AjmulITE76Mnl3nYfg7zAsayBNBzhXU1F8TD5DQChZeK23MTdnjLZnju4c4XSPnL+jhdn5VVyt5Q
k/rgxD8JarOscISMxh7Ps55HY7lHbY93r+mq6YLDL95nyPZCc6p4UIF9Udr/7IbaTR7muKrRKtSG
9PStMWDobubEd7uzSMCiJpkHOBx1nVAxxYyKKIkQjNQcngOu1m6FIgkCZrqdhgxXt3VK661E+9Y0
yEwkMNYqa0NSnExBBz2ROL/2aWST4uv67TqpBvKSnJHB7EP/ltvaQBOhtXQRQVChnZxM88Mvj2VI
1A1ZdOmfQ5OZiQm6HFfmuLpn0Gib+XVd24ys62bz/sW6iauTAv/+3h0akRGtsuGyQibxlZ4clxNn
2TEnJVsTlvCJ0euMnCY+cdJQ/cOLEG3O1UTn+Yj9sbtk1egmd5TPtS8ZtwOfFiFnNuLocNEQsc83
55qxMb1E/OK/XL6vmfnWJERSIlQe/miFU37OyAEnnbfJ5N9AC9R3XMY7yy23bll/1cEcsohHQn5K
HwhyfhExaHruTykgn+5Sb/tG3exsEWUyPaXX27HcwCh4NxHGreOFxajh2q/um+EO5XK/IcqMNIfp
CUjbmSd86h88BKYjbyAox4mD/epuUrt6aAy//vMRL+4PyLP1hYiT7MOfSHlHFUd3dMGnXR4ehIru
V6syp88NxGZTQgSRwtdnG+QGKPyAImwDCF/mVr0kNnRtWfFlc9K5TDLNDcI5i3BZW/8E6t5D+nmt
j34cjL791pNpojiX80wNkQ+u9Z5MgXDu24BBoMxmaOAiJILaFn7jO8d3NBsgb2ausri0gxs9DGjA
mpdd4G3U5aQp6qVAldI+DGbzpqfgsAqST+9Ndgmctr066WvvxeUOE3M+p/W376Ro1xwPu9L824Tp
7LcNDFg8MZLsV0+DtGIenlzhXqBeGUfC2Mz+M8iUMCcyg1DlzDrt3oS2fZgHlR+p1wP8l3Gqr8GG
GcI3582bZ2e93wcPdu7guCR6BP4a1jNpAlH40xHDEZTIujag47gN0uuWYrndQLTUlJrBts172xmH
r0lmzx0LGvA1xKh7g6A5+x2g/u7OZgl5brJs2JAyBsH+d1mznR7Yz1DPNUoaHqrK1F+OVNn6gnQc
4jWEVlXPYZPuqEgBi+zzESzrB4LaXiFpRbmXz+sRj5fQIIY61SZzNK7Ou9aF2JL1mchnf2WQrcRv
wyBUc38inN+7dBgWh8jnqikLxtW+ptyBmL8xoDBS8tAajmPEIbcfB8Eh7rMBMEIy4S9hON+0dqVB
1SjivvvJHobgIFH2NnmD+2fOVPIrQKm/XPe8+fdYD132g6xexOP+QZzuvXVlPTxvR3BFrNI2nS8+
sls0vgHdqpA+ZO/3owVZuldqnrN7TybwC6FZ+x8Rd6bxo2MWv7swAVX+ye8hUm5rRGwOOJdTKTbb
uG63+y4CjzrZJV7/ZrTatdCNlJRqLdzpPNK3uZH3PA32j//bU4cmcczjVi7ILyY24ecdAEmQaiem
KmfSGM05lMew5shiFe6YEbQ/ysmrmwF718rUIg+f3z3DGLanIcm9RaJ2ARQm/CUoar53rKuW2Qqm
iziVhUvBvY6w3A2WYof7BthHQ3lX8Qpmxd6CYRb9PKaC+UXOU4ENMp8wzaSrvo6tC/zmqo9e9pO6
5gAWHrD477a3g825AQ3805I0SfigFWmsZagxb37A1wIJtcx8qV8HMNrjvJNRcn0aM0A5LjO6oThi
PQ3nEKnKjhST7abDyQNNFP2aJrjG0bsnAZoKJl1vvJCiK9U3u/btq6fkqItVd7tTkiEVwoZXAZrl
EPz66SCBwzmnUTAGp0nWtbyz3tw138JUrkyqwYpGk6+G+XNq7f44YZqAxdc8CNxVt050LJ160oze
2U7OrN8N71w8Jzc4hi4vc9AgH9pmKf/YKBm+4CLTV9JpgMQXv0J+f/jHg+9G/dPA5fOznYRRpw2m
AoXnsvsvA4MwnDd090u40oTgNLFAYjayyhQVAcU/tbvo9WwnHWT3wJReUi4puZG8DTOtFAgAatyz
pDoIptDfY7quHEvsCjncXkfpV71l10SzVvdbgTBOy5usmYOv0UHeeooHRBUskqnfYp07dzKGj+63
/xZOAN42TY+4ctqxPofH3LtP3k6dL6AxfHUbtEt1XHok62SCLhxB+PuYvnqJidWTRKRngKwSz4Kz
pJV4WsjHGwudrtjYrVsa/WnavksuQB2wZaLW7V2Q7BlHDTjYDzc0dYP0NKndUxIlajyhaUU8p7nB
/HYwWe4o7TAYvBu9zPsujBY31SQQNPlzxQ+1t7ZikBFueJcmI1U2UEL/XkfHd89J01Hf2dspsnxI
lqS+HeL5j0dD+bk1sVZFgz1OcHKjJkhvxpYB/8Q1VCiZciaCOpeqFgl3LxJlWRfb8e82pMvbvjvz
cuckrr3tiR8OX1JzpHsIsdwen660nPWEkw8VYPES+61Q50ffDgpXicC8m7jKlXN2PhaC5Bqw260Z
z55DBDgnDHZ5bhxn+sTxg314d131IdqhE2ekWuiVu3UF2heTFBHz+eS+tTAWzSt3OPYnGwo3dVu6
Z+V+0Df/R9qZLMeNa+v6hQ4jCIIEwGn2mWotd7InDNtVZt/3fPrzpQc3rJRCGXXu3sOKKihJEFjr
X38Da0LaqGsa7uGZUv1n5jbjtLHKnoOsMWd6li0N9OecFvM+gXP5GVMBxm1uHdW/NFy1bmVSv7rR
sizdrQl6wJx2SeMboA/2D463U7s2keN9n0SYfJljE+tVy8AkWjUzNA+01/EyrNwsiuFhnYeHt4bs
mWkrgpa6UncCpjiia6gco7QcEJR2xv2rw0njk7vkIXMLeBK/dI/a+aiHcUFHbS+q2WkHovg6sCdZ
7yVlWnCe6/vxemCQsa2tiOoLB/vyV8yHGJ26AtkaYKLjZBtrlBywvVW6DRczJe1tnjPSgMlfwy2B
UQiBvnBoCLZZa6x2W/nhdI9z0qh+LjxJfFaoGO2bSrs5Kqmkd4ZdFPu93KpRzukh05Nb87w8zohs
yToUP0M0xRvaGvzrVxOFZEvmCbMQQPqq/I73FqIvXoWMN8xGz4SjyvZ/2hXMqxXM8Sy+X+w2q7eW
MnC7qEhcl4frFpzNRT0E/a5BLNMejAXozih3gTXbdAKMuYX72m5IFCl9GDczFN+Y8hvhXkiM2BZH
bwdqS9Tdp3qs7rTu2nCjoy7Ut0rO4qec8C5msjqM7h5gaZr3beyP1Y+01a2zjgc48qczW6zaEIsB
BgLEZ4aNskJUXpQWxhxaMSbJ3VKL8hfN8fzEeZbGe5Q08Z3Vqr7aj1MYezeQxP1P2FPFv4qunzE5
g+XsQgsuGuK/yiKOaCmx8F7leuBqhlVVxHQl0E7XiA2QIzG+DQGZStrEHY5pxPnVseRqhojnLfsx
GTr3EWGViHeB0yW32DAv3bal1E3vWzqMXdFLfLd8q244LWOr+U2Ij5ucIB4Oz74bxPcunca0gY7Y
/RsqWz9XEtnVvfHHpjwsjd190Nkk0282CMTyeQmHMT+Ybg479igqkk2h68GnREh1e0xCzd3C4Sc+
TwLX23XmZpxyFPscu9yAPb6idE0tbrSicPfW2LvWBq1C8QSAHf8urcH6VUHjo6/rmSZCHezzH1Ze
UCFqQXbBgZmRiklBzVLKp2SKtk6cnEdeRsYQlKhmbxsQhWJT29B00bbL1N2mQlseqP2ifxZTxPBO
DCiFqF7qdNlMBSrTbaZj+IQDNmzyoCwYJPukX5xvuodRRfpu2md7W+ngpxr5U5s+6HE8Yh73gGoE
qlU/QYs5u+HA5enyYu6OHtj3LlXzVMN4YC/lCOKK5muUDJbDmOfsQNhIb5z2NdhnzaGQmx9oiOUH
6BXOT071QZ25VGm4A2yso48isvsKbj93dPchSseSCQ4s02Cb5NM8cv14cXoQTuhQZ6uZ5hKae1Fu
LODx57KO3H4vZ1otZlphmd9FDiEqaPuCsn+0I69qN0M9D7fpkBbwTSFH0jpJJoF3CC9KG1psvDD8
z2VFsqTbxf10sATw9gqEVRycKlM2PK8JdQ+ijTbZYAhU3HhJUbsPZE5EzU5ZZximHfz4kT+o+A7P
mOezWpiTUa/NIgJSKJyw+iiDiaFHvwwdNF8s7VHFjOXcnohH9fOtb8NQS9HbwcXHrNzsOePs4WBF
EFghR/gtpyNg+ScI6jP1s1c74V3Y9EV3PxJi2qOD1AvsBRs5BKOLDs1L2yO134PpB/qJP6oAv0W6
E6zHwJafg5LB7roSMe2ujiI/gIxXcBj7EZTB2e6RnQ/QB24Dx/L0rkD0cJOmbPoP2sY56UCfDkGf
HgsSnaqFFTxn6dSDhxbl+NuDiLAcabuaaW8x5pUn6PIUmqpI5Q6qe8ZGSuL0ri/FCDsVjvwn1FOw
v9inZfZE8en/gvKYohvWYV+vkXQ5dKwYhEafVB2FP+AZ6XlXYeXp0UmQzYdiy9XOrs7/tJ045RG6
jrbW/HLGqhlX8GmTOzCiJj6R9JAP+HGl7e/JiUC5AYPg/deYBrKB6oK3HVO4Lzvb66vlVPIph5vM
jePHOMwTFBqaT/kLt3OBFgBmQHgXwZY2J4jlsdz0KXJUyJKMcTfB3NU3eSaTYA2CZ77WmE6le7SD
VDJ9nibVUTcijU7CiUvSNQmGQKDDiAn3zBA8cBUGzL3XTea21dexTPnKHCfB1BK7NGIQvMLuui1o
t8keIOritq+mGXXK7FThA9FxJbfukE1bhgBusM2TEYi7sqT5XITwm/il8xjc8ZFBsTg3cx/t0BX9
IVsMlUugDUeE8hAqKcS+ZtOKlqvfl1WpbvtJIzvQwAAcvmLUd2Oqlue48eDLtYDy/jqXAVM3P7Xp
aZxkmB9z1uGpoFSI+YAJEOaB6CJe29AHvK0keWPc5hJd4LYQLghFGYLrrfoGptVahY6b7qHjpGbn
xCZ395PFsBRPrqLZ2yaGXlu3s4wPrgpi0n/jSJ75Y17y0HVjUMJxS1X1sORNXHzg+y3VMRDWOB0R
UgAXZ27/EGmUtOuyigYIozxEanHsqxy7Ev0dDkGTOflVU9yHM4L2oz/jOgL9hXBjJtyzgf0SJL8X
lK7NkfEm7ROQlB/bj7nlmWqFxVrqstuSJdvkXeSVm4Yx6s82Z5S/1a1VNuuaHF20QdkSfmjRBUw/
6k4yI4up2NJtADlE7auBadehGhpN5Ug8wm/JFYnGQ5PPtLGVkxT7oXeH8bETZaoQ92XzFz3i488S
ZEIjWJDNjSmn0N7bHbzXVb+EjCewfOBgL0L0iuBQNTdPnkKFWU2pEvyhQcLcA3Aug65sW+ofP9Jh
sw6dKYrXpplrsc2xtD5OPsfnGrYlNqfe4qiG+2tq2s/tEC6KORXpSiVFE6V1E/bz5zYNzIeQEY+g
dIDSv7GJGk/WAmISfOcyQvZcYN+MqiPz2nHlBbr+wSiEsb1f+JIe1o2gGvJwYjAL6sL0AJlcpFtH
6gWoRvVuzBQMUfEW+5xQ70QD+H+codIAWhXQTynBUrsFDIRet6n1GFvrJG252wKcH90jcd21OXhT
bv5h5oAYCzgoCbdyqie5Xcp8/sxXzDgRMea8MmIuxV4WeNFiqDC4n2r4h+Vt6Y9zdwprb/jCB35O
6Bv6cJv7ZfmP7OT8G7pujIKstmY4YYbiWfUwPrk0DPqnKgFvt/2yY+KNqM7fW1O7NOspDIJl20hJ
/8R2fyzhSP1miO5v4ACetUgg083zMg9Lwh+nqIVH2g2kJUNYPzCkqikPJzgvRyr30VCXN41ZlcHC
qSd9LB7WSG+KckuIhwf/peY02kwRtvAritr56+B73UdZi/bblOv5kGFTFJ9qcOobjVPaWcQ6Ir7J
CFKBx6vx/wfTCpLbGg7csxM1pqC0LEUFDZuDmy2v62mLp1UAokncij6Y0TLpZpYR0iB/xHkjMpAd
9hVEPywdrNrASDBh8UhQWP0Nu9voKZ5T65voCwY7ueY2ucUbK5NbgMrBW0N8N7c6mRCSkLjjQoSy
CfWTqYYgkQfOeDgPQRntQboHV4dhd9e6U/XTJv543PaTixEBhgpoxrUpQ7WfyO/wQQShHD11s/Jp
8Lh7iD3X/pcWLl6MbiboFTZDgffJg82cMKJxpk86X+qvyk2JnZKijH50nHrTNgN//llbML5WkIzD
aY8rvf2DLYFzKG2KTV+kx+kBgwn37Ji3eC45Ik2ablu/b9tHcl4aSNVyEb9UvRR0I8zhik2pcdPe
hIuuPsa4/8htXfXhY4yF1D9c5lptrD6bHRppIWHWFln2s2BSN0FBrzV9zTK6sOxkykirGUroRIuk
mF8qNKtwY03qHbRDc7aO4N0DHjl4MK9Ugz/F2hEREw13Cn08KmLsjDoGNP0+Dcsh4Jof1bOxxYi+
RebeQ6hDeiGR+PJ5CLTj7PtSTx+SOAuzGwVx5bfSQ/zcWhXfcs639QciXfoNjne5XmONFH3RZZkM
hzpe0GvoUPsHy5fOeI8+jJyvwZ96+JROLOeTUbBOKR4H0JAyJcN0lXaT+jaPEzSBqfe7YJ8ylr4R
iPbiXUV6ik1p1J5hYwSR7n6xlvm2r7uxPzpI8PyNSmlaURyOvr5hStrmfIQ1f4XVlwDR6DSTlBko
nhIbT3RJdV+EARYX7F77c8ppUeyhbJH1ZMl0bp9S1SePaTsvvwRqh+MkUFWe5+QzcsShrMMdrDxv
QZxkAKz9QPnO2q2oAo6Fql0bKoqF55wbR2m49/BmYCjvuWW4mVzqyz2IfCS+T+00firdwWp3iBrV
3dKFebNXWEJ8i3s6C+DVKn+C0FmMq9HjwbENcCpYc2PitjEGankqs96bVwAJM+zdxsKHLRQKNktv
zbQ8dPtzeAjBKLeOPTHhT+JcuBQuQ/1P5xiahA5qQbfqRjW5dDtL8CHvc2ntJAKCX3aWSXV0R0f+
2y+VlwOtKPsxWNIcyn1p+udzhDRkEYT/lApu4XunBaIlUe+4hjwUeFdBZWaY1J/mavCWHWLz4tEA
gHNr4ED6Y0RAD2huvPaHr/LIOvbAax9r9AnJCkl0fN/BIk6YAVXuowAKZ5fNklmAM5dxcIf+MEbn
mTb+QyuybNqjyySE1zlPZGDQ1B8t0QFM2YXjR1uvy2o+H6vp+gd/DKdwO48ZUWItzu/lgeOJisvP
BYG+bMeM6KDJpBn7SeMlEhdwR6KQ6RgnUWfkvnJcD/7OH4QoPytDwTa4ptYz+u4br5wGdlwOi4nC
KWISg4dLDzVQMLP6mTaR/5BwveEOw0XyXSHvak5xFITO1po0+AOAxCi3Go+ReIP0Vj85wSKgvMsq
yomraPRjF9Wc8m1PkWflNepYLHHg7QFcMJBbMU8I5WZJgwp8zan0zmYuBcepiKS37pm9gD/advlE
kUYhN5a2QOrWckztF0/OD5ngDF0NM2O00UvicwndgDcvg0pAxso4WscTPODVEBCmdCMrO2vPchRK
yZ/0NFrjCOI5Dzxn7hLPs0kMQ08/f3Dx4/oalHWL+UIk4eEvMSfIDteurjnZdDBP4ahTZPheFUMR
QlA1rMoEOvodsANAWFi27pfApMFjFy7Bnc2kJrhxS7XoNZ4b1rj1/VHkq2UWar6pQhf/tKmz89+k
D1bfrKgPvsyQR5djiiPXb4YfMYFmBRSIFajigCt4HYGNicDPb7GH5tCV7hD9xM8o0ntM5QhLnOds
VrQ/2CIcLV3VD0FUCxB4ReO19RpGfbyGqEDH5KlAHrQFiR49vlpgMzZ1wwyiNGLjFnm9Tgkb9A6M
xRhVwI5Jgo27aAN5DaYz2Rtp1hdPaB76xznphw8yL1uOaQjtLWz8aPrauOf+BP3IcMKLAdqYSXM9
3nDGBfZHdiNCCjXLYoCy5nliGwaAJQhB4a+taEzPxvt2N94EZoIr6VkebpkM7/K1MqGww1VKxNK/
NRP2M2UNpfEK0H741gsDA5w+pXmKugrKPm44NyUsKW8bzIzg8G0K0aMFMoz/CeteTBso41i/nD0z
nNUC5SPYeeAuHYYB0v/qBU70Bav28mM6xXw4sVt0h1mVts0YJnJvEOiEziph02D9T72TbL1U4iox
x7a/L/1E3jKV7QrSuIG5H4o+g5MDUO196nwztKuqlw0fAvSfADgh5MZ0KR/b+yWIa38VYlblrVtR
nFXcIXXN1gpF8qzapF52NYOW/pE/dXpquJww5rdqHwRVebLbLsgN4FNydykel8eEM3eX9guWT0x/
ssxUv1p/0M1KhMpwVWQ9yg1IHHBG3KaDCRiewxHWiQzyeN/YE0wfTHGI7gANku29s/jxJ6B+5d2z
ETM8Qx3VB1tRe9xpgP+MzsMetjWgpVeHWzsdcYThXx3qLfbH+BYkesEKDz0jJv88WzRXwEcAr1g7
6GTTDGOX7FosbSMarGi4d5zBPpsImOhuWaRlPoaBO3/Kzx8j8ERCl1uVvvpkwwDB3sCr0puwMZnE
YcdvnweGntM+R2N/n3MhEKdWEAsbMnYquRr68XuHNfS/OCa4t66Vu1gbaROYdehCoj6hZLNxcK7K
6Yg7kXdqGiIXVwhbYEUsVFbsV/p877sAEP0qYGhSNsE5AtBEvqk/KieT1XZoBoXTDRfyukVkdMSI
Yqj3/LMoXbXjhPgmc1RlbyTKonxn3H7+nukRZHsZIj/cOHTA+XdAWbNF4nuGdGRD3Ux7Z8kDhML+
NMgBHMkytUddoj3/B9MzJ0OEL6Lz/YA7NHqJbJSfcGKzP06tk/2y2Cff2nwq7yI3nM+ykYAT1Avm
4hdCffusUBbAZT4mdv9GuUWYHfMXNa1m7q8bn50+32Runj1aaZJ66wVecLLyNFSDZ5wxQtRu5BCj
TsOeGdx+oVPknmHYvOmmanyakmTpnkrGdeim/Kb7koNJQg0lB/YZhsVo9tDHZA0LqOCkJBRSe6u6
pvE8jHZptd8ZjNvF2hnjuroF1yhPJfXVsm+gxTjbyA4tJA1QuDDpyafoA3WI812EAdVnsUAbgbPd
wYFb7KTusNMh+WFVM1cqgZVlleyXxZ9RlBUZxXOlbJ89FxUuZTIH4LTLaeE4BcpWVA/QXNN7xDRN
cjtWmQcVyM4hXaWhLGALJ2649cCSK0rI4TwHrXFh/IALGtJ1T8SmOMKSUXINLyv4gQNXmDxWvdck
O6IwnGLbOP4IKdM49T0BznW9ErHNX43QxnFOjoH+DUvbZPtM5Fl0AiAtqduIJxpgZbWz/dyZyvqH
brzg6Y6l/jCr3IV6OSeNWmEb2ccfa6hfOxlOc7/NnImOf3GGFgKsDModrLrkUeB0hFVUWVbLfVzX
kthZpDYEwMG+DfP7/4EZqKwu7sajMkN0wp6z0neDEwf+atHzJDb/4wSycSHF5sclGEjKEnlRFVju
uEW2HXEFnnaw0O2S/9QCKaFMqvlQNXOht1nPjTX3vDiEE+l4xd3zDSNRRYGDvSburvQo53/+d/qL
cGcGPVV/xDDaXguvlPBC4O869JnXzKHPRpsXnpCYhICxKqwo+f+F52VydgtF0dMfe2wSNgGmR9tY
OeZ+xhxmDUKkv1vBQj/hUwcy04Z7VlKNIwRM5BX3zbeMIrUkOp6xkCaW6cIS1GJLA5fZ/bHVS7fr
8cPEJjse9u+bbr7hgak05nDGkedUB3lhummFwLgzbcixD5qPvMDwq4Rhfp4tWkfwA5qoOkOQ/f6i
4s2njAG+gM9MeNBlpkmBBHIMAB2P4zCIR2gMZu86wlq7DGR2VF04F8Gv2eatWjbVmNYrwk39dTWW
10J539pa2Hb9vz/k7En619bCbanRjeIhD3mO+x40K2NEfINcdLh9/ze/+TqhaxAIdTZ2f+XwqiaV
abfpj4r58V4a6d0rbOOueFa/uYp2NU9LSohtF69zgJ/SCxiiR4d0VtAp1zuUY+Nt3/8tb26av1a5
cMaWXahgYU39sUIUfSShItwapkNfceIqTkkDkZKab7jyPbzxqoj8sQkxFbYmV/jipxEg7wM0uv1R
44e49aq5u+/TMcC8Ddnf+7/vjacIFxRWjYKuhFv9hQF6j9kSfJCkPxJU56Cf7ZTZQZVkeP5f13HY
DbYk/UbgIn152EQFxzkkFnZf0sr7cnGgii5TeGVPvPbVZRXKSOlqNJKvHGcxa4QX7rHzAuwWd6as
nc+BP1nTaYkT5wgOGDhXotnP7//lIUoeFZGSnF0aA/nLve4QdaLxI2qPlAj9l8ijzbCSLN1OhQqx
VD57/aeqxP0tcJwrxrd/8gMu1tZ4B/sKz3HXEItz8UUzdUEIFi/HbrCUOKYQfbFeci2fBrgqnPI4
aHiHx6anHjswFVA1bYrwTn2POmGX2n5NXxWgKWZGj2+Ll+k5XyOJCLxDgZwWEkGODyiTVuOHp1x7
TOEr6N2rDEl+viUOCoZsjucJTMFscT/pZpHVlePz9fbE5ZqLwYUx45JdcxE1L/ysjOPYmY+RSdUn
jKLgMSyR/eH9zfn6ezuvct4vnNCEI118b01qpS4zjZlRFTYDkTV2iAsj5zhWS7t/f6k3f5CvfOO7
WChiy/TyndlIVRcTapYiL3ubuiCzZ+rgla/6rR9EyAUJclK5CqD95SoYSPlN47uEDEImWs+th/XB
QlOHZuFa2uAbHwDIpg22Stejmcq9XApuc4Fu0UzHkAapXGX5iD9UP54tjTAwdKJbbFajH6PfQ7t1
MmuOrhws5//+xUdgWF64Gskqc4GLAww0Ncl7t56OwCUWEGLOvLYcoemBONzUtZ1slCyvhZC/8XwN
CKBHUhnHDMnNL390FVRxortmPiZWTKSHGrOtbvpxK7G9+e+vkqXOOQkuCR4ESb5cKlQJJvIpezNx
p2fXmXrUXcx6lXTzKyu9+ST/Wuli03S1hYVMn8/HjiL0Ce6Wui/8ckYa4wzHGpcTZrJG7d7/Ht5c
1GeaKAnSsak4Xv489HA00AZBRwt54ydfTPgrr2heTOGIu1z0zo+ZyevP9xd96/W53HkuD9U19qVf
OLK1kKFOOh5DNC6nOkdjZbkoHoComysP9a2ljHJcuHi+cHAkfPn78J6mRR2r6Ti6mIKPbo34KB7+
7afRv3ITXa5EYg9HlzxffjxKdRkc2bm9SE2XgNvmns2jm/MK3auGoJq3jXPlCV5+9X8W44QByTF8
APZFMYkzsFnsnMX4Y7DckYgL9sqzYbYGTeTCn0ISNsHf2Yy6bq/ce5eXPGuTko05B5ZKNnfCxSON
qiwUGVP/k0rF2cXD+iedMv833JGIu6kfmisnzOWRfbme8/IVNvh+w0bv8T5C1ZpBu+vmn/7iJJv3
N+Wby2B0xbfgcoyqi2XoWPKcsX56gq9j3VlA1yd28Lf3F/lzYf59XP75MZxbxNFyo7ItX/4Y3iZk
IZrcE/fbMBzcCA/KzWwlaqMgnIqNpRDuQbvoFWLlpkPeEFMMMtZPFPLl9/+YN3YskZY+WcZcHgS3
XmwiG6x6Hvs+PdVl/l0yhDjMBmE9fJXyShLBmyvhseoa7ESlfVkp2YHbyKTrMkqfvPzSlXhtJAVW
HCvw6OX/sBYvUQsSbmi2vIsnPOQkW/ZZnZ3gNCwfK9zRH8h1C5hLX88COW/1y7cppHHpFdT5y78o
j5bShV2AheTJa92+2iLdR3ibVuXPxgaAmhIR7ATWxXuY5zHjdukNRzi0vViNCpvs//42qdPoJMQ5
Ssi/gBPmtqmMJbz05Kgo/No3s1h7Y9mcsiyct/8/S2Fk8XITl2gcBgaj6Qlvt3hd9n0NKbTO7y2Z
T1f26OX9dP5eziW2T4oMrGL3Yo+2soutFrHTKUpFuVY6kgfys+KjP3XpHqCb5Ogo/M8HjrZhuTNB
calFhXc+Kf7q1CcoXR1KgvwUTcF8C3rmfcpQ6/lXftrrc5Rl2Iykg4EA+f7FMgintbdQPZ2GAeJB
TIDDXYvnyZlQrm5jnPX+D+vBT4Fdz9EjkUG//FkOYh7G+UvOpA7NPg4LwZ0Dg+zekRAlJyqbK1fv
6wMVdEs71ISew3GnL9YryINApT7kmDEAePeWSPEEwnT5v+5FqIBUv4ID2vFeHduo1VWLd092OjcL
v+q8hjPaRxO0y/TKBf/6zmUlVCs+d570uU1fPj9aFMYSUZWfyLyqfoEFw3nSne3hNDppmDNpevS8
efoSG5vZ1vu/8q1nyZq2g36BOLk/oUR/bcn2LLwJ0PmfSq/Ux3aaxG08IQZ+f5W3duRfqzgXv9AN
Iny9nYId6XX2Y4hd8q6K5nnHJOGbBdS8/+/LATiSJSt8j+Pz4qTGLiBZSA9DezhX3boYLRyFhSXD
mxim0r7l3/nw/oJvvUGXkhMQzj2HVF58caqVIhixkzg1Av4+5t7y2SyWf5B86B+tECl12aKVGSrM
rq+8QPH6CtRcf9i3eD7b1REXP3YiprOHPZyfMPbEpp/RKLUMTLpaQB6Jik8VeQScojZMEwQHJ2iu
1m29LPg3oc39Sj2nfkgnY7ps4PnlK0sEw5X9LRw28MvbjD/RR2lCK+6Rm33+539tMoSsHiMENztV
hBY8hWmZ7uhXg0+I+BAgxuFywIoO/U52dunDgQM2MyyucGjNXVbq6MpmfBW0xdbgS6N0d3wAY8e+
+HM8OwmHuBuKE0Fi+JpDFQiI9WKGehrzs/lKH3k4ZPiMRucdFGdkcWaycPmIhczMuoQExlg5aJRZ
E6s8L5tQdFH8mCRNq9EnJihOYE4V1SaOjBWup67Bfub9/Xa+ci8fKFUeNQhHAgqHi8sLl3UIbLBC
Tr4TYNCEZ9SuH2f8tHrTkNScVXtEXjgXVmNBxGETH95f/o3P2XMFPptkTsvXHYmrNYr/yClOZmis
h9Eeup2AN7YHafHXrsFk5v313ihu+ZjJW/doTDxSfy/ODz4uqwhDJz/VkOeOc90YEgfkVxdmWw1H
fVmqFUSTmUAm3GTv69rLv8DWna78Ga+euseF43E6KAKAX9+rJaNQGEP4c9WZ91w3bk68ALSHArMJ
rHObHGFvs0AXwzEJx3/v+P5DeFWweNzphskR16w5H9cvPyJ+mDJNNinS28toW7aheUD5NdwxdGJG
6FTkdi/4y7y/6J/T48VOw41DgsFzQWkyY72Lnmwy/mISO/GPvlsggMFeFY3QWVac3rje5H+xksSc
5JL1kAgbUz8OfWWrVZ73RKqkvRs+gLPY1gElI66xC4PKjwWb995WU3JC277cUD041/qPV/uTP5qw
Pu17ZHACB1w8KtIrpgkXBXPEqvcrjAJMdDR+3q3nuOuudesrVesby1EXKxBwsnuZBF18jXGI5VRk
j/5RLcX0FGiEyHktifqeQ+unqZtP77+T1xtBEpRO+aq4aLxXfYhBpTi4U+sfscaROHKlQY+uCMtV
zL2IIPOaA/SG7sqV+uqW8SSfIDUCfSxDmcsvEO+EeqA38hERZfPRuDWO9XMKx3fEzef93/eqJGEp
5uuCIMxzjOBl9zj0ML2R6rPlFFLLDbqzKCR6wQ7+eX+d168NKpfHiMQ4NI4ML15+UIPH1xSgOzqi
xDWbxM2so+6hT2KOHu+6CoL4++u9Pj4YZhHWBzbF8UFD9XK9zhlNnTutOXp92Hzw07I71J5dHEKv
Kk9igp1mQQ69NxNED6K+rCun1+ttA85Is8MM2uH0vmx4MNb17aUT+phLO3hoAhLINKUDq3qwSdCm
cCljjBZu3v/VrzcOyxrb4bKgQHpVrPdM7MPUc9Ux0hby3XpAjwuBdocoPLmycd54oQCqFGGAR1q9
gh1CdBooyAaLz97+jFUVOH9sa4RwuiB4Z8q+vP/L3ljOcR1XutQShi//oowoQ5GXgFl8EqpB3mhP
Q/sNFm58P5U5ArhxHq/UUW8uCFIqjK0VgPjFBpoxrR5BAvyjGQvzEZqHvcL1SjxrgcgOQtfv93/f
GxvGYbueW3+ONfbNy/3aZ5FFryr8IzZbwR2E0Oh+TnvxIC0Nd5b4meNiy373/qLn3/DyvuGRagSa
YO9U75elYk+jrs3S+McO7/hwH+JBV2F/H+l2tQi8mo9lO1lMtArxo8wbUsPeX/712cPy4NXkd8K1
e9X0RRCGR6U4yiFUid2MzfQBtVl/BUl6axX+64w1uMf5GM8v+u96OJGyDzrjH+umdr/WTNpO2Df9
Z9zRYxCFR5GntER9dwmnEjUBqZ1x10lD5ty2VotJQoXTyftP7I3v+8UqF1+BgYUfjqjaTmL2223t
k+NQBtJegTpcu9bfeGyMg9iT3Am8ncsDOyzZ9ji4hSfd4bwncDM4yt4EVw6sN1fh1WDR5IB/Oxcv
Z4pwYIQczWNr8uUopnQ8eSERrv/9sXlcBIaSklvusmMUoRBEUHTYECTFF/IDMoSOWCDXWo1XVqID
ff1NSeAgrjrf51y8HE06eT06U1wkJzgq+kHDzn8epKUeyEjEnqaXaHw2cRFD7B1LLN83YYwJ1Zdi
8PrHFOmPOpVzhGERHinxASY9IQYuoORDRFrA79QJ0YnxSU/FujETvj5QjSDyR0lv/7LLSOFsJyLn
SXeaFJQCWI8MiWRw7yKTI8EnmCtReB9bJdxgK8Z+AWPbeO138eDsMtHVzieK8txeeWG7DGRS+uRO
KiQoyabEyCJcL3D2i9WMBu5RLQga6XksneES6HKzMZs0/7gII6pNNiPiW6XN5D6auac3askyWVbR
WC8zauoFanqLBQ0ts7F/4JqW/I4iqT84CBQC5BuJH6GkF9W/bpMVT1mG2nlPhIz94CJPJZ1CoWJf
2T1SnPVQ+vXXxCoQ1zN089ej5+VmgyNQMMLA1tEnkrUXXPggc29lQLTSIegndVczUeoIU4gbTALw
EnlOOnO290eJTBpqlFp4u8gJ1QryAWuXiri+zacRVe3IkPt7HCBMh7zcnGO5WtH4u66BQ4iw2SJT
KouhL5GEOOEW0zte/VCUBINsgqkjUszNcnRjSxvm/yxRi2lQ5eka+UYUAgZgmVmT89kZGHwpnOVN
HBvdr5OS/8H396oH2yE8dFMHlY/akrLN5iUpCwSi4wK+nxvS6pgVzfIGZ4ypubOcfG4/YGdo/1uU
i5B4vgiyvQZiOupHh4BahJslLhkhmJVFHlnd/Kp4zwOeuCR4opUs8LJ1SQT5sOhpxDCR5JoGewyn
/r0sJouODUvyKhwyzFdebBL/ER2NYz/g4Qo0Q2PS3nLWduGBECWsiVAV6B8W5HTocMmQJ09BGMXl
/fsf++sjhfOKAGMN+C60uGzXscrrALUX+8jF7n0bwqD7wq1yLYD71SrQRQx1FriosJnZn//5X7cK
eYMEapGCeyJWIL1Pstl8R5DsX6li31zFlVAqKJ7peC6Ox3xIrYA4x/Q0cPQSA9z0mJH52eG/PrE/
0IKheYMg4l+WOiquhT07Oj7NXTjeCNkGW6IPmyst9Vt3Fy48tBoOpal7CVzP3FsTHJHoFPcjepIx
W7Yy7WGDB+Nwpa55aymQeKAaQdSZpy9qtyhb8F5FJ3ZCWIKjHL3aduridE/f2F5h6b2xFEUpLAaw
rTcmG7bTlohTausYQKxdE7eQ76pahbeyQxH/30tuKFIuQBpoFJD8xZ7rPFU6piaol2FHv1WznW4J
hspwhQiz21FAS7my4KvtR7UEWs27YkVmUhdFaYZXt1MORXBEboAbUVvUm5qD6Uql/aeUuChDaegp
Nj1SDs/0oZffUhc1OlNYPEKPwKEUT0R/DfGGENSRrAs1Ou4vb2jSg5phpeTqfzk7rx5JjbWPfyKk
IsNtQ8dJO7N5b9BGcs58+vNjL953B1qNxrYsW/bRqa6iwhP+wc/v0Gj4weFMoDAa2akvlNbB07Hb
OBZXQnLq1rJBcQNo2CpwpKeUqBhVWefaKDp8Ouzga6KUYt9A9PymjYZ+JILN3751GdQi+8fsnVRn
EeF5XOG4Z0fWuaXK7HqhXKIF5AMLaCVz46KcL4/Xy04Re26EEMTQYV1eYeNkVXmqF8oZeV2w84E/
eOGnShTqCepkHX7Pe++tiB/0qSnYm8AqSHNAGC7uMz/TEL+uO/mMoYvlVlVY7T2l1vcoZGxd0Iqy
ausyCMkUf86TNJfZTdEW5WiV9JRg7+DTVIaDcVCEj8AyrgY4vmOhZ/6JsRbihU+aCINiLTUt/I29
IsI9rzM/KrTzfJfiX+i5Q+9jXgk4eeCdzU2cSFQF9G8AaR+jtzxXnsIwgm0UEIdlLmwMLT5Ida+/
sxHdjo84ojffIC3Wv6Ghp590e8Tnx6Y6b5+Fj6bMvcqVhVQHzWgeVHtQfhlNpdcHCwb2FzOXkRqA
9libezSwhq+ZZvkhmOCkng4N5izIACMtugN9p5tnsioMvLHXGy3X6AxVQMiqCVV8s680V9eS0HYE
ejON09aN8Pbo1jYD0H0t/ZbaaMECVUpLCJ8K3R43hGeIa4ZmV+/rusMsq2ks4AxDH+GPk3stxYXR
Qu3Qyc0ODgVhVQ520zaAhGsIdMpwwHMjdwoI0bCOYjX6oYcVuiJEAfFPn26YdoCdaX+RCgt5Y9vP
krtatr3qWBHpIBynIeh5aEet+RGnspccWn1oXuS4aCPIPWGOfpM6jAkU51a976epnyAC2ght2LFk
dZCjVeuL3ocGcSzSY4mT2vF0FwgYl66Vzf2qDk0hHEhbL//VeFA8kaTXohS6o4fCSyLU4t6yk7hz
MuR/caJEM/H3BMfrW9wg/G2MpEl7JfGHemeakV+eUAcQJwhGCKS1dgoGpM+kX4oBy9CSK/0bdGDp
FHdK8qOt6vJLldUNgvTdSwfZo0WS4pR4qv1+jNUxQrWJ+HQ/34bg1GAZZ7jmRd1vPnr5EGF4IL8T
yWTMyqVdmzxPGV2WA16ToFHx3xk/dOHQIniCnD4mDmOo7jUvbXCfL0L7CUUGqXRrFoYeioFGUmop
UXBGHsnD60VVi29JEjOsBs0c8X97EvHJxG/zdz4UdumSNSK61AVEPm7STumzP8S6dyiFj4WG0mjI
dmY1Xh+wAkDZIS4go3/nwcvs3ElFHPpe+CQOKCxAAXN74cGOCKMQTfUBM7ST0SWTfaI1YcfnAdXS
JyS+NE6D0b9MyKk/oC4i3uPE2qBy4TcIIqadkXykB5eMfE2sqPdlY1n+sTbV+ptPHzbfFVk5dd99
ZeqRzbJLmcwjHvXyGIR2/iGF/Ii3VoMSsxNAn+tdhAPT0xDKReVyCSsvjRzo06ONtsLXKjfsHyY+
FdLdMHWiuQsCn/RCQm/7DtXDwEIhM+qB+wyITqJjbzVPVazCCK6L3pCOowSZ06l1z/5oRPrQvzdr
RNKxW2WHcz655J9yQojmvYx2Zf08KRnGyW1CbnvhqygfvGZqPnsB/Y6jlk3FhyKvysm9HQ2unj0i
2xlNRKsO+M0qGsS/wdLweKLhX4bO4A3JXpFbbZ+EledOE/zdLrc2Hr2rQ3KbYEhtUNLXFo+emdMb
BMOQXqy07w9NiB95UVeBS32iOpuTGbqdFo0bqfoquJnnCRMZEBywn1XUMVOm+wn3SJq0tfepVWLt
meQu2FjNVXz4dxTYGTDJKAstq0/drB5VoXh5gf+ER3Xkyw5MlfKl1fItZs4cJr16z/8ORYFVERRI
QXu/DqNId6iDwxLHJCTG/K5voV0myPqxsySU/xsTcSn46skhho335T9smr8tK/riVD8WY2Pq3dtQ
d+nJx4Hp1EVjUl/X0K+YteYQv4klhG1y8e32qFcWd2ZdgBmh7yaoJL6ecZqi+Iz3RHKRitC6x0sH
TyZTir5NGbzItw9Fj4QPaAO7IYp5PVQgWdiAz4s7TVqMgVVcH2U1zdwWK+i3FiwpA8sExHSb5pB4
2XtUIUNoiDIBAcvkp5DI964qkRm9PZ9V8EdwBJxnPnQwVyjAvZ6PgY4QcmBYiemKCWfWx6N0b6Ga
fAgx9trZpPIbucT6W1FghuIBvWOmCCy/VS+CSQ+aLL74ETuikYR6F8NZxjvVqzYW8Mrc5lyZxSO0
hfew2IxwAqRcrUR8Sf0yPZUYY+3xDmvQKhQFvN94s2+7qvnNxXMuLjJokk19CToFXaEbTdjHFyTh
khHLxaKX3FhRk2dkmafqtyIjtrALkB6hLRsH47tsGPznLhhltDrHCGqqzuY6tWbVTBtX6zzX15cC
VzjUD84mvCRzeSl4GrQuGMDxRcIWChNa2XtGSKt9ub2bro8CQnvm8NC/WJwOW60oh8R4PdetUriS
j2krEUv36/Yo6y3EwZhxW0DtYMYv81+9KeDxCACLch2gk1ZAiNUTZN6adqie3j6UDdocPhcYCNAf
r48H1um0z5MhvniNEj2MQ6I/e+nUD+goD324cTTWq8djC0aRxijAixXApBKJavt9GoH5nGVl1CBE
9KRq9m+eEu+PblGvAvhN4Pt6SqOBzSpV/OiSJ9I3JI9Td5BS6Fxt0G/shvV3kmmX0xmk/aqyKebz
+U9trGtLvS3gs1Cryqd7SGS/4ERlboZk0NvnJDQE8uf3m/bV8qrUon6qu8CMLyp2zbsuo0I7paW0
U4JiCxazaijPm5vJUIwDkbzCeTZguoRW+ryuuWhPfluZX209kA+JpFif89wwPjLl7lzgcYIEMTC0
jWz9LwXn9UnmBwBYpFZHQxtu82JVO9y484IXaGzMEsGDLDTsnVoKu9ib0Cq9HQZLsvlcoQT422qw
r3Qbm26Dk2We+TFNYkT9iyYwTFR5JAQ83ry5BL0V8DpcAAoE4dc/brBrdCMQPr1ofiRfisnQjhTk
pWM+kIreHupasEh5RKEpqxDkLL95mbYjYR0fAu93uL8o5TwamYG7ew8EZBd4dAHyetqCZFz7/ABG
QZ7M/dIVha5B4TCnH5tcNEnS99XocZP3pXFUycePDV25jzItDifug6McTBvR1fpBI6RTVJbVAGa8
usRN7OeCEoH4Synp+UdZQQvej1DxgKYVx7scSdSNqua1NQbNjDgn8BPqf/Nq/HOCRR8IrNvhNwz4
lnxCv0tySoMtFmMB+4CO8jTXPYq3h1ji/wcloHs9KFryXJHIe10mFH6Pelsld32Ju0lRmvLx9h66
cuMCeQAeOV+82ir6AQNctlZpUVcf0MMX1HafhBdvPSLziVyeWApCuOtBW1dWUCU1aDFa9JgQDTLl
pYioDdednjmt1GnyLh9S4xgF/RdJrrf6Bld2q4J2OsATJscHXLzHZgmSskRv61LGSvfDV+m5MV6F
DwASWGi1jODgy+ciM82f6piJ6i4ZumgLGHxlkRWYKdTGoaSBElk8A3KHqG2fZv4lQf4X3CY2dpqU
h+6bPyVUlBlYxAUkr+LKZsoHIl1q/VHUYa7ZD4GO02mBDM5/GIcyIkIGNpJgy+cTRMbQGCL1L/UU
yujFJf5TYjfKxihXtgyARxlXBEj/a8qpDD9X6VNJQkUuzRx6tAj79PJEzahUHq0CTVnUNgB1gxx7
e8RDdmj8ZdwAxVg+2ngAiw5fI9ozKKkgfiWh90NG6bY+TmdvXkpKslxp6vxmrBDKvtr1Cpc3HoaW
LL2relP+Djku2hjlyh1GFYOfyFA0A5cx6RQicikh6H/JLSPoEC/yld86krOoOg5JZR0grEAozHHI
izZyq3X8A1BpZmPR5wIitcSeJVlX5ei6oEXfUy2zg7hyw3EqENiWgvPtpbw6lGZxucD8BD+0OGO9
XIcJOLbg4hdhjnpRg74IQq/hQfKyLZL+tbF4EOamGrCvVT0dTWy0xT3Tv+iFj2Y1b5JxGjsfm7A4
zBDeevvMaLqQToFBRm9kEVH0FXYs6JKFl7jkcTdLvEpwndUR95G2Gj1XLioIrLoJVg+yNxCz1w+P
pcgYqygTuXDm+Q+UF8ejpPZ/bs9nDauGvwqQmYgFUA3No8WEcrvSe4OoDa3XoNgjMVk99wg/OVmF
yN4QNaVLrxcPwgg3Ki/s9eOQ4Yl7+0dc+4S6zFbhMQKlsmzoBaHZRsIjMu+R8jwniLQe1V7IKN7X
48YhuLaonO5Zv0TmAVjtTCnE8TVL+X5J0JysIRqPQ2xtCWJcXVVdnYnz9LIsBlp8O9mgAwqD4IIE
Mx60uWIecgyudmaWR04rWrQpkzyZpVFx7Bvb9BkTkTeTl/iyNLahnPIIkSMs9g+y0h1makUIlTbP
DyEFEACXqH4Bekk2VvXaBySP5+4UaA6ttmog6V3R1pV/Abhafa/bEZXDYai+jfj7uW/fK7PhF5A5
cqtV9FKaaqDpVcdQoYj2SknzVx1CeNDwvt8+FJwvHlYa1wJuyiJcybLAUPF9TC+a3VbvAc6Yn1CN
MnEPMgLj5fa05o+xCMpmOAXD0UOH6r1IoyROt6llfUpBpOkOQoh2N80UbKWKpKPAruzH7fGufDHG
YzgSN5rby2MvpDbyFdGkFxTi079mPM29Sjr2DriWt7E7VtEDjWrQvwBk/zJZrfm3/BO2G9FIXQxd
tzNC3IX2flZ1sP/g1dUGR8TWkRUP0qpMuXtM2duVKkrzGx/y+g8gQyaCgd621MEp/QB/OFMaz5Kh
NdHLVEOERPK4Lh98EsdjKMLo0Yz7+mks8q0S9OrDzqhL4LoQFfkLNYvXkw9rxKqnWJ0QcM4zB1p0
iFz4YKJWm5gH0CdvfqD+7lQKz8CgqdcuyRpJDFmW60CcA63O9iFcgL1eid9N126BCleRzGKkxfEY
FAXWS6GKc4Or+r4Z7BY3pw5F/TzB0By230EfxjdH7/OgEALATFJvW8F1mmjUOi9gegp8QqcPVYtk
Kd4CBXFnLc/jPA7lIj4ejFaq+K8/W5aOfdPChjhXXZT1n4gNrfCbXeax+r0w8ym+E1qg9MeY/5Gy
a8IKsXIP0Ww05xMovXutVuzy7KthjBx7kqBBXhhjM7k4+yr4B+fppO9UGYLBjmdIm9X4iiK6i0Dc
4WNp0EdGzKcYQ7cAeFye60JLOohGKJtjJmB1vwqN0u4+gEqMkHXgTRIVRxmvzTIezM4tg1q2HbmW
gUYj2Eub31dRVb+M8qi27yQKU/KTlWnB8MGmIvwR22KENv3Eb/07vbNwqMOx3v/jGWZsulqB9K1b
tmH8gm18QKbWI2MI5DILoyPPbPEY4TSX7JPOFxMaMKHxpBl0QNAwabKfeSy0g6Z78jO0B/NdxY+/
U3obG1Q/8OEIeVVf1bTvFFtD3DuKyvvKx4MbGF4afpIb8g4nwNBsYHqN8tg38hR9qSe87namQZMV
8XfwOTsbFHjxzYogvv1oktzTduiH2cGdjgzhiHeRFH1qxjHw3LKs+/yAfqp97BR4Mz9x2Anfo0Ka
xkfDQGr6ZOEClr8TOUfmZ4Y5QcV8pcJHtsCoMXVoJoV3oEYYrO7bKNkXQ9Hm76ISf3VHDLoVflfq
JFcutQVuGNRBiBqonFYKEol61tkngjgvPHN4kSKZ8O644A7boGQfV/J4gbFgWU4WZI30xCMACBgn
XxwpIPu03lejiIxL0yiYgkn0geSdqgXRF0mvarCdhhwPH5KpUGzXwm9EffLCSCv2OW2g2DERg7Y+
9b7Z9vdT2fbGJ0OVyvw7nGJJ3ilU909qpbAV7RIbsJ0WITl6LzUeNJhhgL61myhbanfVFGrRyU/z
ajgXtcDsEoVhScZWewTHoCNUXR9QX0T/NbEqe3RFpKvF564Ozf5zrYM83yWwvL77mNfVd3mYYSTi
1wFRz8D9K04j1qMD1iQJA9qNmj/pusE1aXM8xQF/C4E6pIHa75DWZeDyIbLKpW5og48tDFmL9k2F
6fouaqhHiRwjZWcqdOUbPn0eEr248aEtnDTjM55cGPVZPg5XNnBSlX80hgfYGmOJTmcWtE4M5PGH
B7ezxCozjYq7zLKHX3ZN83kf9QWfXfe0AX/1wNShCzWIsewSDF/Dw2TYUrFPMJkwdlRs8fZrdElJ
nLqzGtmBOKr+INoW0p5eP349mJEi4JQGTZ26vlIJ8AmDFKYnOW0JOjAPQvs/LOzoU44T8p2BORwW
B5aXPAu9MfS9FemFfCFM6sZLYcthfaAn7Z25g+Meyp0dPmBcIvJjglN95eABzsEyg7E1Ma8aU/9e
yE2vnpJE9O8TZJx+6hZOxMBjUDN1Jt1owezCbcWJp5AiJCSNqo0dr0Zx9Ih5wfQwQvW7Y9VYdGT5
sXMpUT5Md6MlMnk/RTaOkUbkGS0xU1OZv1RCGlAhdYt3GO+Ch/N1pfD2jno2O/DBVnIHhSfrV4ZV
iPxzUET3aQib7J2cKPJHPag9/xgGSXju8YSU3TFvSvWubMuqOvJ/oZ47kAkYvFU6uqqoDikbdYi/
AdGrAA0Wz/yUzwGTCpFp8dpZcaGHURJaZ68J/RKDncA6aKmifddQo3sfa6P6rdD15KEq1OohDH3r
UPuK0e/MSg+++V02eHvsRRG8x7NA/n47mLsSY0DJI7OnHKsQGS9iDMkIFQtKt3k2PK902PbFYbDt
4Y4S2ngnumyLIXPl5Scm5uBRUCBUXSZRjY87XkNv+xyVlXiuMOWgA6WpycljL4PtpwXwYQSF9en2
NFe5G59AAfuBHAMedavQH8Mi9Hbj0TzbbRi69Lq7e0+I8XB7lFWRch5lTrvZcja1p0Uk3kIMamwP
jpxE/yvZUePz8KaOevUxw7T+U1UGGbTXorvHoBDsTzWVP2//gFVozg9gEFg7ChkchY3XoQcNn0hp
KlYXJ5rGrVW9x9R6GN4PVE9Pt4e6tnEQ66AmSxmf0uy84v9E5qJE+GdoFeZKC3Dn4f4NCohHAc16
+1Geee23x7s6NSqINPdJ4VbRmxLVNR4IqnmWleC75hvlZUps4yXxJrExs2t7haMK5mvWrFnJP+R0
UGOuE/Os+YHqlEkvP+pdP25kbeuDMCs90PSh+UJFbdlh90ZDKTtAUWe9lsRdFPkSpqUz0oSm8InO
XO70CrvnrYtIYYGSAtOyWcplRmFMuKjHyLqcFSyYUHfEIQLyto6febdFV11/r3koZOPYIWCNl2cB
B5DSE31lnfMxDA4IS6o7su/xmEZesHHs1h9MpWdqoo1MbweaxGIr0vsIAwI761wGJllgO0wPRL3l
xjW+3vCMQqGcuutMhFqmvVOi+m3Ua6BRMc8RiCapfgKGWjfxlpJwb0cZE+nvt38vm6xepkfHtltW
t0RUcxrwg0MdVZljKk6B7PAQS47RlP0GyGR9e8H8mEuhqLeBn17y0Ou6DhosefRzO/sf7EoNLsuJ
flUEXbP3FdMdBtV6HgwiO6x6Ax1ik5UN1cY5V9Y/gyuU+2uusdFoWW6c1DTzcERQ8NyXFl06fKH0
R2gxuuZopWJ/aEMl+hPqio7VY4lAyw4Lhaxy6qrPDGxDDHC+vUHH+oCgrJQfQT0DkewKP4oPnYWO
H823rLJcCEJF9a5PG6UloRj97L0v2ZH5gBjEiER7q81OXsjqYZ3gBXbvmJOBHsBUjaZToPXxc4KJ
rGzc3ut9TJ3DJj2lbgTmbPkWl3k3jX3A89GUWXSCuuXfTSJrNxb42voiTznT4+n8r9bXtsOusCUu
0hwx6Zd2rOKvJcyOYqcqjazuapywL1mKwcJOqcr8iOlc+fn2rv4rwfw6IKKNwUmCz6RTUFi2E0Qd
RpWH6chZ7c1McSua1Nn7Pi6q9s7KJASf6HnZqZOQIn3o6AXUeFAJvKalwgybr+AWyh6EKv5Wp7KZ
MB8TiMGWd2WEhs5+lHocj2TMKbONWtT68/BNYBXPiiXwR5bnI5lMqWDTaBQt5GkPND5FXAl8/O3F
uXJvzrtZQXmWEvPqXe2xD7Wr0NbP2Wzf3MSQ73ZFyA6f6BxPG/fLuroF2wuVTYqH8MpWhIkIM5fG
F4lBdQvVgNYexi/d1CN3ZEEoeKcRpJZOG5jiPkTvrN0Y/Mp6QmA26QyCWlVY0tcRhCo6X42NWQ/F
pGznA+dxmlHfehz+tlUWm23WfWYxEfWA7Tn/jH8ClcmHY1DRHD/DwGkeLFh/dItxX3+uFQnwF3nJ
KFFYE41SkqVzKA6piMkK4oyWCSbLwpd3hWRM3zUzhjKPO6XPKckjGQZjFDYppjxThhdJDuppb8VR
dQErKuED6eXhQ2kreILpcVt9NToiDoyqAqvtXPqV8G7qMrN/WtBULzVGu+qjnZLlk/4pUg6KPcLW
W50yZHNxoLDffNfMGLq5oDn3v2jnv16VtEs9/iWsHKutkz1O2OqJ3qa18YmvbeYZksBlTpV2RcfP
beEZ/kB2EQZYHg+NGWNbkGHShP/mxut1bTfBJLOohNOApSP0ekIwEGblRYIAWamFK0tYFwQE6+e3
n85/R1EWo2DaU2pazLIp4bT38yI9QDLqPkS4E20MdSVAJAqdMUEzkG6lyOn1YVLEfgBvSsg9Ps4j
bpXc3VhmUhu6t8va3E1RbG5EiFeiHITSOY4aWnJ0YRenxZsavMzQBDhrAY42ejL1BwF+z9GHfNhX
2DK9u72g1z4bsBxzBiDQO1/tQ1ENEMN78xyzlo9TPUB5aE1rY3NcW0v2BRAErhvSs8VutxN1dnex
TRQ9GvsrsjC+jf8ndRUM1C5F3Utn3Ki6LZHyK7sfVICG4g3CN8ggzWv9z81jUeJLKiKJczLgGxIW
kn8GwQIPyYZVcXsZr3w2bm/a5SS5tEOX2QS3e5/ZmbDPwxhk5JyxrvyUVGl4RCc6ebAtI93AIqzb
lDNkFYUXmBq8HCuUyuCXLKKaemeqv/5DiwfsL8mO1c/Up+wPQyIFbhY3XIhTbAMcTo3nMsq94XB7
2utYBi0j9L0h36LrsXq/CGbzqjJzEBEGpXUM5KP+borGoXOR+U4/BQRUNgZYAaBBW8l8gnQ5K7bA
rlfWftZTAX1F9AarefGOmUGaQtkypXMji2nc2UJKR5zGpPFPNnlcqZBo8o3b+8q7PUvjzspaKFSt
UaJ6EFTBYEsY8kzheegG412O8Z7ThWN1CgOY6pkdTLuOjOJ4e8WvnNeZ7EhGh8YSeq6LyUIZ1Avk
DqSzbjbmu97AlM3OkEq8Pcpf6Ofi0TbhfRAHs5mJEhfXUGQqFr3mmYSsD0LGtt2azp2Mdegu7u0R
9IRVi99CMuN3Udp1OGTZY/gkcC79rsiTPn1IgzjyAIenXkDWpE/DYx6mebpD9s6HESeXhuwgbgIR
EO+lUD40DTwTp5IjgRlR69sUOnGqn/Ydjmr3tZo3llu0idzvaiMBphgYo4Uz+whC/r5L6DPsurEX
OvQtX/4A5tLuT7IU5fQ2/E59qfva+1wZefiCbjLwvxif73pPKyVojmOiwIqS4wy3pn62E2/I3Sf0
h0sNmlk82xV3SGu8NxAPlUGIa2LAgx0ZHewrDLzP9DR56bIgNVwsWLMPHdEadpFWQaTReBL2Vzqi
F4VTDSkK/2bZmLWbdnaROg2edsau8WWs63T6Qy88M128s4qggjnbDiW9nHzInvU8wP4JYwecyK0s
GZR3GRILmRtoKu6rUWyNl4xk9E+qN8qf1s+VczGyxvveb+EUxkVs7wbK2bUj1LD9gd2a+qFKw/QH
LU3va1v51U8rwcjhErXR9FHOOaCuxVSrnR+01n3c6uaI+ZqUHPAeI+fzqA9B/4EvmeApEFnax1Qy
jTeDkMDEETBafxvPaNMudvnYWkhytq10VvPw8zgoBt2BSrb2mpaFGw/glUcCjyWyMfQkKQMtaTgl
bsn8DAIVkWXDM4qT+TsIOB6gNdPfeCSunF1wR4B/ADUjOrV8a2nwRR6OdNa5oWNyittmfBwj3Ldu
n90r1yH8pfk2BpRDJrtYOwOXqizvTQvFF1n6wgcs72AlitBRR7zOnSG38i1gx7WJAZw2qV+gM7XC
jI3wbyIafCToo4zhg9l1D4miZe7tiV37UsR+rJtN4kxVa/GcB71chrDuzn0tT27cpYOrtf1PVfTx
Ruh3dT7csDplThtK+/zs/RM4aAigGEbAfEy8rU+YWeKWWiBD+F/m83+jaIv5SABpsyQTFAO1OnFi
u0yONI5CpxGxfLo91LUJ8V5R9gflvwb5tIg2xjgDUseSsbyvKXf9qlHV/fHmUXh/eZfA3ABeWj7E
mClbiYQH7Nmvu3Svtvl4kPM8e/spghcheJQga64petHIbYsQpY2vTmjJZGi9Z5+wqO6bjUW7st9m
BgjRPxi+WQPv9S5oxOSlWDTQsyja9kPcRwAFFLUednTRS//tmRpFdUL+2Y0MgOJ8qv/ZcorXUX5p
SGx0QWEv0hu44nU37LAo2zKYuxK8IIqBZwmtGCLIZazqGxmRi0IvJqH8Ic1mofTHPbhW6m7MpaIB
ENBZP7IAaz2ZvPv59ia5cj3ZRGucYwqqIDUWE0WVyQNCQd0dJ2wUikYJXHUfFNqZfuX4odZUf+Mz
XpsuvEcTuizo9RVfdkqotaJByTEzk/gniCrcc7vam1zafcmjlHTDfgSF91h3lfcf8m+qK6CS6UjR
zFji+CZDytCmIbuy4BVdGqPTCXX0ynwA/qEpG/fjlUOOAxkgtLmiB8dssbI1F4g3mciAgw8z9pVq
p49Qr5ONUdanAn4zXRMaGHONdAlt7dAJMMe69s42cIcTyIZ619ZB/jSYvrbx5dbC05zzWdwHFRfg
53BVXh8KHfYxXerAO2clhR6XLH0M3LlsFFLGUK2PpBRV76CXb/Ru3aT14OSpBxdUK7QMj11NIz7c
m0NtDBt30HpPzT+MIjEAX8MCLf36h4kef5w6C+f4ZPL9A3XP+Eea+toBO2O5cCNRN5qjjH4V7pIc
j9X/MvwMpKIzwWW7PEODleNNL2TvHLatnqIx4I/drgoz2EqSX6Nm0wv1s4/ecbhv+pAU7K1HGEwl
6A3U+xHDQn/19ezzCofNrEgQ8fE1Y4evme1mouj2mWerL6kfb7XqruS6PCjk1bM8O/nusnxQVWVJ
ZzX3zqhnhE6nNSjKGWzy49hinNrKjdjrciQ7SmH17zBDxqtS64uX27O+tvFJuECQcKTXaGuIwV1d
gyA/B0OvOqM9xAcvabK9kpn6xhlbn+T5AaVkyp2Bh8hygc24RpOoz+FsDIkA1UM+bSqp+h92ET3q
WdYMvuOqJ4+lJ5zKzJpXNRoPQk7whGyyaD/EInBar0vcJO5VNzSHLdH79RvA+w3wn6PNEwNJ9fUG
CloVH/FJ8+A26oZTAqx98NsSuTshZU8SHYit13VNdeROFDS1uDHAIK66vXg0IIiuN/Z5Ah4y521p
rHybcCwqX/QOHftDlrbZZ7Np1I91h6aQYxqxaTqZZ4U5Ztd59acrUv1ZzWuqO7f31bVbbuYfz1uL
X7ei0eqxNSWiKoBkJHqcHro+jt8LI1IsfKet5nM/Crk4FLWefROS7Ws7vC+zZzU0lcrtWzOaHNjh
cDNv/6p1ZQcIKuEIpw4G8UrLoo5NqaW0Y56jULyAcr/PZaB3oV3rlxGbpz3hwS8Mu1HPx1Lny+2x
19VC1oE/yGFQBlkxI41MCVQjpVroy8ZDm8VuHFTIcZnJY4Lw4W52fdp4aa6cbdBB6LPzbFp0Q9TX
G9L3kcXDMRnNai+o9kC7un2QyOJXIY9vRzdQ2SWonFUL/r4gr4dqi1HBYoWhQjNVHFWqWtR1mmbj
812dEIoPOFFxS6+YcnGI+FNLCeYMTA9nVBI/MoykzN5PvUqycft7XRsMtD24EJR8gC0vjrM/Y6m8
gRTaNwAVgj3NXDPzdEyjva0c8MrDO/sloDxA5ZNm+fzf/wmTRW5JmSW19jnV9TY8NR1qDTtvUFEh
bYJoyB2BTZbHFrH89wJtwK3DeuXmYnzCLHIC/rYE+FD7sAixuEeEJU2uFWrTflIh2qBVlThJ348b
acG8dK/rcFxW84RNGrbmmp0RDoo8zsl8W+v9AyV87URQsdXzvDYrii0IkRCQ88AtHvSxk1JEq2iw
+xChIS35cv4eUgbXsChMr917yK1sTOzankHjG6SDPVvcLqsUPf6UteKTxZm9+lsRdXVfpJP3QCUO
Va+3b0+cogSjMbfVWRilFMEr9uh5KES/75Q6PlTUJB0RVP6bU3petdkxjfa+igrKImAVEwgYdTRU
1NJB0e+nns4HJTNd+lMEdZzub0/s2stBaRYbj/niwtRiMVxcysiT6bp6BtlZ/ulTNap24I5FvIsS
cuTjOOX58KJW/TSeY78qNLeze9G5cQw3xSnqKav3gyhEsrHiV3YtzBvyWA4Kx2RZpI68poxTf9LP
iSZVnyfhfx70THq5Pfsrg8xS/FSnuU+Bci1uHRF4qoxKgXGWC8V3ZCqFZ2kE3X97lPXRmAtaoHHA
sfM+L0PP2ivlVpuBi62VF8+S0drjzgpDA/DLFH0PR1/buEzXNxwDwuYjHqNPtmIuxRH/qZYjzJyA
Pz83hpYehtAu3udAgxAgDrovUw2R1470eqPof3Wq84NPDQ9o9vIar2WvUSPRmYDch/EIaqygmaTi
+4eoKp1INTrcXtr1B0QHBRcaXFF4CWlTv77Lx9g26PCXwHK9bkDXwZNPVdebb37aATPNxSiYgwiV
LCF3rYJKMTUi81xBaN2NQvXvs2r6YSvdlpnhlfWb5TWJH9j1dNwXG1LDuSlWehCZfjopj0prA4tu
6n5XVZJ8mET4ZkcZIDxg/Ghx0osCc7pYv8rsosCAeQWEIEfT2UD6cih0lOgkb7hIkTY6osvfaoE+
y4AhPUDVcrYwXomWAMywlaku6KlWtuGGuV+6bKhi30xT/vHN+2P2mAZLO6NqUT14vT8A+7SMP3in
wQiD567uq7NVyP2WUfL6JQIcCQaDusnMHNfnaPSfkGJUG6Mw0I085ZYmFY4ky7kLCRxDX6HEWy2A
q4NR9wJCO5/wv9bh/wymyLnG1Zh6p1EYybFuC3UnjNI7oee9hfT+W259FTugQkFbn5iEYjmKEYv6
spzptZUaVXCRRgtcZjDWprkXbazE8Fa15idGtP3g5npdGjtRJTnYGL3Jvmd4D2Z739RR7ZqGofyc
6Xn6u88oOh3aqR1zKg1J/iNgXLhiJRRqR9NbM3GiqdTBSKqWZD6pPt9M2fm+BhEimSLN3OVS2EKb
zRC2OaUKrFN3amd1dh7T8bNaeuXvfoxxiygBdrUOSmjdfLOP7S7rrKB2uOtNfLvikc2WtWbTOUXv
lU+6NFHiSic/yHb1pKafpwwTj91UZd2fKfKrE7giXXaDDMMLYJRtAuFDTPHLMFnQYN64YecFxyWN
jHZWN14iJ2Egppkny/7FG2rfpdWTnTMFgMPtUVZbCJAtJ5AzSMYFWHRxzYhAUlFVGKRzDSbso4a6
rptMcvuI6tlWpXh1Q/8dau4jATSfIYuvj4YVIEqu66AzzKoO92pXKXdTlm6BCK6OwjtAPWkuCyxj
esynWsPXJ4ppfWIf5TGU9hn8tY13dXU7q1QAUO3lyoBosap6F5NdRZ2le2eai8reM5vEkSUl/OLZ
bXTRqiEsN3bDle9ElRt83wx840FfLB6tsNqYEG+64BIuOVUtzKMHFm8XBN1WVrQGdDI5hFnoUtDF
xN5skRbl8vg/zs5jSU5kC8NPRATebKFMV3WrZVqaK2lDyA3eJD55+vuhlZoiitCsRjGamCwg8+Qx
v0EcQgWPMMeh+ERlaXSHpZn2pHWLnx3NjWE4JHmfY49kzaiJtrHdXUtLRB9SPZ0+6OWkvkyW0cV+
mE9K76M+nLpHDm75ndFzszf62vjkRCUUEpZ4y+dYvRtttlO0Tww2VlGm79WmT75CrlR3BK6MrU/A
Ekw7GIMCz1ndkFqUKQgkexCrXCVhCB9Ho8edbFBiyAauHCIokzv7bZhg9CejcFAeIob2GI6j3/Ct
SDwjfm+UkTIcCmWwPluMRBqAhihTPSABiA4t88fOOY4qwfNxyIopC6zYauL3Woh+bcBZsVO/q/TO
OisJfrUBrIPsWzmZgwzQ7QGvKLu8JMJlWWscLacX4hQbFo4UDPLAWoAzmv+lCyzgvoWhvicNs/UV
SDURNoSOf+uzplipZkVC0sdNzZhgK+QVszUIpX8dsJA8J8VT4f3dkh6GVh8tpCHDizCV8kdvGfGb
Wssn07eTwf5rzBcnAYDZcrWi+oqAyeuQpQ1hqdCeDy95OmTQDmfdt/S8eAJJNxzvP9dNpr4sBRWG
ThU9w5up9xw6fWiETCdkMpnBaFfVsUDQ5CjVeXhqaWydlTJD336y7V/3V75pzrEyZAtcbjjDSESu
9vUQF7jXu+Mibw9E0a9lZj0kBW0BNDFFoLiI0+h2DryusGacg6rqcn/9rY0DWoLCfTGsuIFGIh+E
wGGPhR3yJvEVlWJkyjKaqPdX2Xq/IBiQ1QKFScK5ChKtlcyDFSrexXQaJ/LRZhvOuRXnXxYu34Oi
jN8Q+mkDQHl/3THg/TJxWq4jphzkhq83kVIB3kpdsHXo+RrnujHU8wTKCXRxXf5tx4D8nbPMyWCW
Ru9ledV/JIStOahjuezX0G2yp1JXy8dS9M6pqYe9ynLjq7FVQYSYtARu23RyadEZi4eFO4r2H2Fg
ECPdYs97YeOrQata6hLGy9QKq3dn40QnJxNNH2Nws38jfRjPCInHybFuRu/rrBUGcc0q4zN+6OHO
jtl6woWo8xuuu0yKXr9MB4V2RHURKaur3jrDvzfGg2rCuDrc35nLM7zOrAE60wugQGcmRa/69Tpe
h1URY4PoOsPuO4Izf5iL4egl3fSgRzjH3l9t440uVDVoorQ6bhWZpCETU4+j5BobtTjmueOd6l7a
xwKI+idD6OKiu0XzuYMjtLM5l9Jn9Zw0V+D6LKMJWAqr58SW2HNjtUmuuQ3Gb9IGhAnRcf8IY9Z4
zOfmX/jx4U7D5XeEvlkUJweKW0LLTctTFjYwQ5T1UWMEdHOkt6y4fulWEYr4o9tPx66tihRN77Qy
HsJJa4drAaIN2Bqqgv/LRZpOvix19wdMft3yBzMp6yNt//lDrnu95edt1Xa+gVbu5LemEp01ZbIN
v0FNySWMWepbXAiRZWwGu6uvbdygA1o5nasHiVroP91CwiVQvOQy1H2j+3XlJc9ga6PP9hyOn8NI
Hf9NIhU1xwinVNCnnaf/AG+RfykLvB+Odtur8TOG4O3XDmPFDwxo52eHDQtZf1ZtGej5LD7e30Gb
35FzT30LYvWmvyu8UsPBAc0CeuTMvYpZ6zS/0L3R8tsiqu3zKBMXaXY4wcbOkdy4qiiqWRi/U3oU
v9khf8Q39FoSbCOK+Jo6fd6d8yGLwDG2kWl9qLK2ecOGH78r4KXfkhb3+pPA03OP0nbbJ4VPB0AY
4BP5OMFpOWF//IjF+LkfjQQ7ojTrsve5xbUNnpGJPUQSwpLfT848B0qoRd9hqE/vJmsa1AMc3zYO
NOEML/NgpHsC4LdjbX4Wsqvg7pHEhiKzClf2NIZR2xEqq7JtFz05p62DQdQwWyaGkBrGiVpinTVt
wFailcLKfau1zdJ3c1PbqSq3vhOQYgSnEL6CGbYK22YPYIJ2QHTVYeEdljHnMa1l+JznYKzCwrZ8
TynxmUMa6pAxNP5xf4cuj7o+9AAWmftpJgJf6wImlEM1Nh5aiKXZCJzJpPUUklTvnIONegCh9cXB
ifyQjHcVz6RLBQjRilUiKk1gT2iisMoJF7m90Lm91DI8ZbQLWnuVvFCGtk7oZVwRme4d0ZM23xup
Nh7QsNjzL95eimY7jwUHd10/I51HFpNi4pQWY4fDm2oeinKe/X7o96bCm1uWctaFc07r9uY4N0j0
ldXQKZe8zOxHdGfKoxIa1kdDKdvnKam6S6KWeaA6s3rqJg2mlxHuGbduHmcQ/wuFcmEErjeLCIci
iTUSmV6TzhfGnAk5sGjqt62KbfqJqUdfIA1nxmC6M8LbG6mN1XyoImP8Upma4vm6XRp7fp1bQZYd
bIClQDXuBp6qZsXsEEWiK3Fo+B7XwwSUHRW3T07YtY95T8901MfR9u+fnN/9ydXRMWGdEECYcXFl
Gq+DmxZqAxNEJUFYXIjiIFyv+16BS8cGUapfSr0XHwbpYHuop0OFcolQe+w9JdJez3PeUJR6Xed8
QAEn/TTLSuR+4czKN8cgBAXl3Gsfsb+RsZ+UAitC1RgVM0DFRusPiGBKugpK3ZyGytThfHtcrGKs
W9h4feq8pImTW1cD7l8LxK9J3SDGovAr4ws8eQrbyH+6tjNQ+edOfTRRZlqg6sjcBCgAxfxZ5umH
VArxU0mTakSD2agAyKN3gjZSEafGMSursCUyyupb62qV5ieeFI7vpEbxjtJQqT63roWNSui1xks0
T9mxwLO8fRTtlP4QcW79SqJ4/LnzQW5D2avvsYrqdSRd7HbYnaOVfdOHxDnKxhFBiYPgw1+vBOke
yDosTgac6xjTSwqnkTzoKk1Ab9YQjQ/lODjIok/Wu/tLbcTnZa6xiIQzHroxJyxb4TqV0iVX7DGr
x25GGcGumupwf5WNSOYutyGzaIROb4QEHECwtjSwlqcl3v/PDDFjLr0wOZXjuDfX+22fuzo2IKEt
kC2ACfjTKkDTnXVjYUXpdVQ88a0d1fmrhFn4j4r2y0tfd+PbsamLb5oYkvohUWOs8IbR6OvjaLrh
1/vPvRE6uHd5s5T1oIDXk6PYAmE8CPITsG/Ns9vNaBBliXti4utgyJfqnz0rt3c+6UYRg+w4unoI
P4KwWvfgGi9XSoHS91WgtXWEjAC5w4z756hvugAJ+ujTf3jIZRBHm3KDK4YwVz9HPOU1TRJ6TGgX
pC+RVjr8MU/CL0z/p9k36UIZOxFya+9ifE/i5wIaAbP5OkASC5F2YmZ7jSl3E98o3RlXtNj9cP/5
bjFmQG+pVxZcumV7N/QOmXpa5+gyvjZxCEUZgODwUTXz6iHrQhPZszrK3ylwMH+IMpwu7VDnSK21
eLkdx2IUQdepqXYS8yB2PvTWqVq4iRAZ2Ow3c8JIhyrR9DHZP64hz6PijOcxdL2nbM72Zmkbr3oR
3KNYJA9ZulOvX3UeD3ZZ1egU64hKf3Ua3Th1MyzI+29647h4+KKQzhMskCRffdBUTYQ3eyZa5DoX
zmTMh6QPA6li6BRmUK56FCz+PjIB5+CapeVHi30dascJfU/gg2SOVp4fTDtSz7bGQN5GyGUnqm+c
S7C19tJeAAFKd/z1O0RMLFXUfEyutWyVxyF1++c5SRUZ5GT93alUKn1PCWCjw0BRyFSEdIqNuz4h
eH4BIdY4IaqRN28EmfdL67jysehb9Roncf9o2a2rMOFLlf54/2Nu7M7l0DDPWo7OzXx+0GfbKVSb
NmJtFGfTSb4MQqne6UL8ur/Q1t40iPi0Mbgqb8bzMgNlNCzHs7L19C1woW8qcIOdMmprEZJ+0MqI
e9BFXG3NsHJHY6YRgaFMWj5iA9bGx9gwmz0a6NYR4DJYADCg0G42iWJpZRJ3PEzfDS+CNvSZ2bVz
MnGvayAy4kqUNHCrdyLp1reiVgUpxtzxFodtlyix2NZMJFHM8F1Tj0XgalN6sivZ7LSBflctq/t5
4b/TyltUz921OQmMDaON7Dq/QuKdwpPetyJ92xRT/29jWig/Qh9BoW3qIvNg0G90fGYY3bsatQnA
s3P8BfF+1CSdJKy/4e1j/FCjqH8pcT8f/KK0auGPXu3sJeO3nx+TCS43A0wzadKaWsMRMltZyPxa
G27rY8CoHYUb/rVxwIJ3Ym6mLh2y27mN6/Uku87iVzKWySFFF+UoRVb/9cFkGxt0bfjUELlvgkIf
T3HXCSQZZzs/seHzc9No9SVrYFv87dFkWAOdZBkCM7S5KegaN9VbHPuujgKWvs7b+oiR7J6A1O2Z
gTtFB4jjgs/LzTSwkF1f4KWYXtUO/Vdf78TcBehjOG/Djsmsr9eT1hwHICd7UIzfNdjrzcxEirRg
mRNBklzPgm2KKZQlcUAEH4RDGlAM3Q0GvW+mQz3hS+in2mxij5mUUdWe6cfatq+ok/qtzvX+U4k8
6HAY0x5KJbepzbBpaIsfoug001ewbxZ+DCYgevKqJAb8Ckz8F23I6a2FfqodQIow35penHwQmo1e
itC9BiRFVRjTYe60vDhUXefaR7RKDSDlcaTLM9+rlEGSz1PxzgoHN4fB3JoNDG2t6AK3WaRZ8rYw
k6CqVfMfTDihSw+eRchJK0kBaGKIgJiQxb++v1duYxCvEtlrBB3IlG+srYDFg6c0dK7HskvPuTnX
R72qM9xiM28nmG9tmIVrD/8XrM6NQE4dynhUUCi/Tgic4lTj2t/NrAHn6wzNC5wULXAnXKzvP9/t
9c/zUdaBIGPpG6bC0HcaLiekySBHtIdWQnhRK09DlF1XDsA5xc56t40/4CoUdIspNZjmdYO2aZsO
paMyvWouuveHJIvNH2ljh/jIVQpeQDk30MmRXjkeQbw4P/RIeMMONuM2/6D/DqaK29/bEt5K40xp
w2GR3E/LMBhCGX2kF41xrxyLJ7tTxcXUmx5ZGX7/ztpb+4lykzEHr/0WUd4AxJL6yNplnnvBgn9c
NJRNVHHzvYbv1u3g0v3BkZQdyoTsdWaXKYISp2A/hYgIHye3rB8qr9hzZdvYQGSqS6sb+jJd91X+
mEsDo/oZ4yxdKYIKZ+FzSP/dVwXSLsAudnJxbeP9aXgBLp0v+o/6GiAbpXmGhRQYmkjvdZQBZGQ/
pKDfPrpx2YbHJRpMBytq4R27A90cvxGZ8jQUoIqaJMmDUulF9WCPyIYF+Eh4j6ka7Yml/IbVreIv
neVlggUElItz9U6miIiHrhl3WZTP7nkG/gIShomAdog65MGfMGaP1KPo6/5tFE5mF4DzGqpj0tf5
RzXvs389QHDzo60m1QUvBdytrbwxv7pekjpHG4pdelCHxIWAmKt1dcnpfylXD1LAELhuG9eI/87Z
dCxCu8U4kdyk3dnGG3sLoBGKINhW0BhdV/M2nYxE9nwGDTWQj2Zh4uSGjvSOBqNz44C+VLfLOV18
MEFMrl7kbCQ19zhAI89tJnlN0IvXfOy4nQ5onlI2jwA60dzuE2Fp7y2cr5XAyBhf+K21UNl0YHkF
al5yDIPUUcuXMJpNRD1gpE/+1KsdLd3W7BE2HDBZ1jE0KE5eDzgxSPHxboJoku4b6hEgjNKu1Tno
1Sz5kXVmzyhytr8X/Wx8sCo5Gr4GRC7x1TZO0mOmT659iHpc6g5tDqXrqPXC1g84nLsaXRZn+qdq
jMIMhlFGDxU2vh2mFJr6VdRJ+KuoQ/tZs2VBOgko9mMy5sZ3KPRIJHalV3uPYYl4s1/T+AxPMpuH
L80cF4pPEEdpIY+UdDwWPYTaJyeiO+jjTaw0B6+S3icyLCU7zaYWX2SWqz/dsHRGXzGb7nshBsn5
BbsZoYWCKrpPZyPR3qSmmP7RGtl6JxcCvEVeII29cnejO0YVw5fmKWiy39yyEt/pGf9079K0E9LM
9EoPqdlEQaQW09ulT/jstWnFxKwr3xRK1x86ZiiB4/T6Xha6VEzrowvaaSmowHHdAvAj3SiyUboX
REsM8+hFQ1wfRNqK5nn2JsHJ0uMkesw8b0zPRUd2gMK9kiUPbTo1lt913uidgWmF8mQYIxr0hYO0
SoYOsuVbtObdJ8Ymsv+lak3SBQgl0fYu2C6f1N5q84fWnTE5bqMGfs+kDGr1oe7doT5VXTZ+L3IH
ewB0z7XqjevO3ht7lrZ5aGK7eZdaSvrZrRWL5C43s4L/bGr55V0hZaC0zpj6CmoCX5IKL/RT4agd
cHGZUJjMsVmMHyCVc2AkwujldZB9dR3bpC8CThwKNLkntbeqMbeu73jss51gspH4UFws0B6OOYnB
csX8MS8dBOI581R5F10V3lnohfD8jhrrMGrsASVrxSEm091ZdWvTsSwCFXDLGTCtx3NhtQB2G8W9
xMgT+KkNemPMiuqQ1D3TrB7THbdow6BrSUdVvR4fUd1qzkYr9yC2G/kI1zPlCL8Fpu8NjgSN9ZTR
Bz8EatlhFNn8rGDWdmQWZT13vTqhal84J8vaawRvXKZYcqoowIItudVuccANeEa9bHbVK09hm6pB
KjzztEg1nu/nmRvtSi4qZoZ0QvjUN62KqWTUauIDcHGzqXuPsE5cBqkLBttvjZkZsF1k8/s0GZDc
d4TKJBNCWJ987Edl/mroiCcIxBlhO/lREqrlXyPMwP2TxSwMSSrpdSNRTliujIuUiKs0+TFLivlq
TGOxs8rWPl8mZ8Q3SCI3OC/+oigkJPtLmqYKwy2Asx+hpTTL7dF716nPHNdPrTjZywS1jax7YTYw
a8ctW71B0IHMH51OxMoFa7x2OhpNtIgmFp4FdoW/MkHodzW60NYgv09WMv0iFnUf2DcMV8tMapg0
xUbnHW0ttMQD2WamH0KnHv4nAZoxzHNS5eRODfP7lJr0w87W2fz1SzVLug2keg1coJ08anoEPx0D
ovEDOFJm2laat4AEtMJ8kgY2FpA/o1NdaerjFEZ641MXWwF8MPN5xCslaJVBeesZk3Ka3V59iWQ7
PoBFUT4bZjud41zZ0/TZSIsRzONGo3YGhrrGAvfe7LReDOSYOJJfUpyTzmNtFr/Saco+JoWi7byk
jaMMQWZRYqJ7cttujDMBp6RjPehT+Y8chokIqqFv3kVc+nvMg83FaIg7HoWUzaKvA3aHeL+GeZ5y
kVOfHmhB4dKCTvMDUmzW6f7H30g04aoTGheE1q2UY4X+GyIxPBeD5CnQcP88VNIyDvdX2fpaC8aZ
Hc3j8N1ePxBPSDoVl9QIOdCTWsz50aRFdI5IhBZPtj2M3dYL5LajCw4lbaOfChWlwR4kvEyF3R8s
MqujMui1j5rG3zdRieyLCBjTGM2jhff60cwwdKY8Wh4tkd0TzFQV6WU3u3j5kOzEt82nAqhL+27h
id1AA7qRMWufKRezHpI3veJNF7qW7ddCix3//gfbW2r1wTCb0eIJC+FLjyjLCWN7WmtwiT9FYfLX
yvZ01rkWsOdbsKxgG16/QAcM4AjNN7ykWPLEfi+NJsDsZXyYHILI/cfauCFoi6CEsBTUzM+WSPhH
JqQ0mLWDKYFvnvXRsTXn9DkuhvTgWPNX0ce/zFYbdy7mjTf555Lu6iyP5WxlwCC8i2Yn0MNKW59e
KrRTB5LTdg9CsPV8uHGBWfmNdl6nXGKB2Kj4fVxq1y6fFRxqHjPRmo+l3aI+O0Yjl+Ds7PTVtp5w
scdYui701dbyNfzLuWv70L0olZpd7bin91rN+imyxmpnW27EERPDVIS1GG4t9tOvv5/su0RrO1LK
alC6w4ws42E0ujCAu5YElOr28f5+2VpvEWVdMGwYB6yxWLCDw34oUXfI+iE9Jd04/xxb64vZdfo1
sQdvpx7feJNUZ3R6GIOSrq755omWlEreLFiTOEaT2MK1osB454y05J7fyOZSfKvf9+ctj3aqEniL
sA2uBN/xySgt+UzXx37Xu3CN7r/EDYCXhQ4agl0ocTBSX88DLKyQjdkOF/VRTztNslCCeirNwwQu
46xojqQQmSHWQlB7boy6+6cYszLQtVp5jCI63vd/ztaTM/bFMJJIejuJMgTrV54OuQrV06OEAPdA
TqccIzq1O1OvjeOI/gw7Z7n2uP7019t1aIZwdAa4fXihyae6raIHLVHUUzNH+bFprXeTUqU74JPl
CKwKbFAB3EOM6+mf/m75/BHi1LbIEbaXyiVty+joyTJ7zyyi2dEr3nyJf6yyerJaLSob/wflMthp
Qj2uM6hIPZH46EIDXrr/xbYqSfD5cF+ZGy4+vKsrog/z2eywf7tA83C+zUZtXUakKA5DCEOAVNQz
3gkc2x67cPL+0URmOkEyG0DJRPjXLHeqCwgXy7SCMuOmljYaivfUIDWrpZpfO9vJr17k7ZlKbL5e
JO4W+Rqo++uKVVFTJ0qLGi9xw5qubg6IxrXi7tnziv8wrOOdQgkgTVr40qt3O4IoTIUAROtOMRBM
3Ssf8qF4uf8FNw/CovpG+4HG/PqKQIjAa9zFGTrEhcOXjsQNxM5wGkyRwR3ypA36LN6x4tp6h78D
N/Adrqc1BBpwkjY5COReTRm19Ab1yq9n3mYWQhq+/3ibSy2iEsQ3/rEuRirCZ45+GfrRMPACKTFt
zlu1uITIt+3k68vnWB9vQB2IdEMguQV2M0FrKlVQqyHQmp/73lWRXOmzEyKq6aHox/QLBZj1qYum
/9CSBpxok3yCZFnYHK+D2TghoINYNFE8rr1zheTWwUl6uTOA2ApfFFi0S0inGYwvN/If4QuFfm20
XI46wGO0QBpFvWS6nu3cAdrWhqRwXJQIcNuC9fd6GafXGLd6SJYpjYXxMxJVAhRtN0jNt7Goah5C
ZzZ+MSBjkNrM2lQfmlYOzbnIZ2vpW01D7TMJ6LyD4znAaZe9EftVPhc/1XJu2iPtTX1vFLS1zRYR
ZeoaOimksK9/tK7P8YQhm3IpB1VeZ7fJf3ilbhxtZ9L+w4F1gO4zxUOU8AZNiE5WM6p1TkOjKtzD
AqPyE1vtz3VXDqcsk6VfVFW64wiz9VF+O/uh3UaX3l3tMJCNXtyowM2UcBzQftSwwMQI4phZynvb
ldAVoGT9h6O7kOFtylOadOvOlKfDo9FTSP6OFpkvWdUkAUrczQ/pzF/uB4mNk+v9bnqzClXpemcX
6azVbQrMTSlRSmKcYDaPRhJpz3jfedhLWlHxYndmPZ+Blu4VPhvHitqUAE8nkk7POkI5uMePOMBG
V2sCfOtrjQpmEwVcded1bq5DD4xO2IIzWXcuzCq0Y9FasOSbrB79wRqd0yjz8Pvfv8vFARLsnkp+
tX6XcYGSxGxiPZ6glHRl2IyolQQMyrw3vCI73wVeBE0Qy4+9cn/rAWktks964NxuWjM6wy67DWmz
Nn0xfGCgJaCbNHuX8lbGQz2MfjkCNHiRr2mXIb4ojhRQVuN4kWSdE9G6B8gKi8ZuLWfamGNZO8ci
9YrQh5oyTnRv45FhyWz0TmA0pVHvJLNbT74QacEwgNa8ESKvMJS30gr2fWGq8rml+wAjYNrLzjef
nAKPYmEBg/L8r4OclSOQWENWucCO0B4mOtNXbNGqQ2RD8TByRQcPWkTPoG9wf4/74aJ2njj0oyt2
ui2bv4SjutgmADG8odmNVq8MHFr3kisomRyKGAgDvHArEYfSlo79gARRj4ijKnCc1ilUjjUiLc3J
AGrg+plij+nOT9q4ADzQ9EBXllr0RpHEAlrZSCsLL5lM8lMDSufJSCfttIAH/8PXBpO2qF0A4L/R
BS7mKkRcLGGfO2p8tDqRHpVJ7BGQNuprpBPRUyadQNhwfaNNsgyNVuBLYWcgqGJRRw+DqmVAgJrw
UM/pj/thY+v9gXzj1el0628Yeh7FdJVXizOvDcVfbZCGqMsBB5khy//+LlusGheY0UIuXncO6E8I
tKkiBRGzJDy3Rpsqvmk39dPQzpZBJhprhp9Z8fzP/UfcuENJs4mKpCYoLa1xlhVi6h0GuZRK+DCc
m15prq4jo8cwdbG+QILgOrXGXmLy2w1qlZV6EEoIDIR8yq3VzR3X0NsxEiW/r5XSPCY14ktBEqPF
wvyjpByDyNlfezy9DT814uZH37hYdTkCkBxUzJCLXs1M5QAJxZEPHVSNzO9hQVeBaBrZH904H9/L
2VPAnjQZSFEt6afUx4oj/UZ7cWKyXsxFcuqQP/qM+2YWBfB9my9qB/PkXesNAy5zgKAe0rpxnWAg
hEU7KeXW9U7IQncWMUsQSKu45ShxnYi6puWsxBWi8pOTPQlZeyfhpHSei7itLrGXecx/6uR8/6Nv
hWYg9C78fMLzjcJqbkEiLzWBiLeuJ8deGN25SMI9FMHWYfUMeiFgq5allq33R2peFczX1ZGrTxFp
/mCpjQpOFdPnsLawOKmMbKev+Btdvd5Vfy642lVNjWsixANUT53Kpr/eFsEi0P02mgAI8ifPNyXG
SDmAN18P0flyEiYl91/t5kPTAiRK0W+keH390DiLo6MCL42QUYu3k+I1p2SO9EARhuVHXrU3Kb0N
UfB3GCaQj7pIBv6eNP7xkhXRpkOMZgz+JQMG0oOJ8g+shKMd5ntF0G2oeLWUvnq0KgVg5KWLbLPr
lN/nYh4DDzWlgNmd8dwyp+YdF3tSQUuH/fU35aEW6WZGdouFxeqbCjJsppt80ynVeZ+hBx4SEMrR
TcJ88HO7rd5nEd0/T2kxoMrtv/Y9XhjDIEo1jijk8XXhl7WWO096H18No4jfxtNcPrm9qOdLCrg1
3NnBWx+TcwJVHX3ZWymsdmhHXcHJ/ppFUf5shG2Hm0o4vcurLt25r7eWoipEsfc3+WLdapzMSJpp
kwNutb360KUuJkNIFRzbDPXr+0diayn6X1iVuTDObuhtalPWatTBjE1kojxKTcl/tsbQHRxpTB/v
L3V7+uiB0WsgBVuE79Z9o7wvFMm1A8Sa2lNpuS0sY4xOWThmB5ok8/H+chspH+st9muLCRq53/J7
/jh9TZvKJBrRzEUq0f04NGXoT3MIGlkptOPQ9xIEmm2ccGSQB4yusqcaG6tgyjRjpw1ye5vQaoF5
QCcEgDnuKK9/iJ2P8VAP/JBw7NJ3XmV5gWFTmyJb4ATmJC0/EQrY73Kwdgw9Nrr1r5deLps/3gEi
R7k19DK7illVW5A6bd1ZR9XKsjezi0afXzdzMvi0niEQF1pjXHtMBeprn4fqqeVi7nh7wtgLHBu3
AVY0aF4gfsgRvpE0mHqGWAP1+VUvsY0oy9Y+d8qcnNJhotwr8vrRGNr00A2Dy0dr4nNajep/2PqL
+iIOedS4NzV8a2rYVbBHrllnOUFYNuoXre+7wMbdbOc7bG19ej2LOzZt2RtIyaBGghYSRKqsnv+H
lEKpBi5qNAelrZ2Xkk7CTgDZfL8kMCSryE4bN7xKIzbRqrCU+BqmfX7SY40OVyILw++10D5URmge
rYa4Vela/NYS9GyxIGp2+gdbT00ms2B6yV+psV9vPnTq3bKNYMtpInW/qk1nvx1kVp6Q1WgfTTK4
PYGxzQV5vxh0gg+6oXI4WpqGuUfc1Fy2llWo+QeppMWjMyrx+xxt6J1UbevSpdBBbgGFByLoKsJU
cZ8ZNUa316JHqcIZR1wGywmjurJPJaXtEB6a1DQ+3A9sm08JumPBf/5u879+rXFE5p8OaA413jB9
meq480slTp9HK2RYGyV7XeqtW55RzW9uDNSm9S2ri6ZQu9KNr46wcd8bkYrRiuGLtEMLTf5ixjgw
zgJJteyXufx5/2G3djIqTkjKwywhnq97etZQ0ab3sLEMmVPhLhhpiFxqGmpDZ6Wz51OBbdZVb3Tn
hFHA+IZ2mfGhHObY2SnXl0i5ynU0+rGw6xAFQ/x59a1tYU1xPvXRNWee7ecILLzUo6LuJBmbq1Bl
AuM2ODRr9JbLG3Zzl1mRTITxk87cJ4Ek4f923unGhUSdjnMWY376iOt9a9D3EP1ikaOWymz5tIlo
IyZz0r3p1RofZ0mH4Kq6sfOZk5tnYF8RTfXLAXSpn/dgfn0lDufGlx6b0cc2tI+C2cZzHDcIYXWH
vhwWb8kqy5S9S325K9efYWnVEUS3jL9y8mwvKTRKcdsUXqCM8fyUTnHrnpM+MdWHlBynIvXUu89R
oQ7WwXEn9VELs/pb1PXhk13lbnEgF6j+2n5gsT8ni0LwHWDZTRtzhIeRl5YCqEyJxtMkOuMUg6X/
qeeV+n4q5z0hvK2tQuZCQxGdhIXX/ToMsFUcZUDk+arDS79aeoj4UA+H9t39zbLBj0ObnwQKlBLV
4s08DL0fJaYLFl2LPM1dH5Jc/C0ObfNTO+uCnVCEqBlCTYq+6b2jTW8UaRQPaBY1QzDDfm2fDVll
zlEvlpoEeuf0JXZsEAK1qyvug2PlboOo0CA/g/J3vjdD2qlnbeLEH2w3FQgfzEXxUrkhhqI+Mx23
exhRFPOOVV/h92ZBQ3X9GfOJ8TROSDQ8yM6Vsy/NqnoE3edF/jho2Uspa91+o8ZpX9OG7aPmrIOV
+OrwP8n+7WL46UBrm8g5tjUp0hG+jIhedt7kxtYl/9XxYgQ2dxPJHH3Oqll2MHRVaVxBb9vPY9uW
D/dX2biTmBsSMIlWNMfWcWrwkgoBAOYudVqpj009ike7TNprPmfFM+zDT14Vap/vr7lRRFAWEUrA
hTBOXE+4u6Fu9aJi66OzUAdTYRYXwQz4AIMk2QkAG5cf0AFIx8zSkQxehy4u/TQXM6AhKaoftecO
fNNMvmD24b0NI6/sd5LEjfXg7dAzWC5Aht5LKP0jgZahGwEqKYAIhIaEQLlABk4iV2hYRYrRTAF0
SzX9dP99bi3KUGJJmSg4b2aDuPTmQvZDeOkSRTvOo/7diefWt2WNNGM971lCbHw++Bu8S5ijBNZ1
l144SQtBiflE31Qj+Xa0RG/+a8sMqsRId77gRtwCzEnnlnvyd274+o1GplFHqljwH5VAIULFFA/M
oLFzkW68QiQ7wcGiLrKAuVf9EMOEhF3bjFcblSHKSeh0J17s0YuBQHvNXB3rporsw/3vtvEifyOE
qDVp14KNeP1oGMZaLWqCykWMpkDzcFZOWZ0yHqTY3XmLG0sxVwEKsXAhGLCsni9vZRojWgZgRQzV
yaF8fTPURlwEIt8NXPrGJ1vSXIqXRVzspv8NBdRW9NnIrw66y+VxCDXomPasWoNvWUNj+wll5I+m
d5KvSVH0hW9qw5RB08rNX1mWijdE3Ho+GA3M5WOd6Wg8T1Hsnkzpav/A5XHtIPZq3YN41cMRUsau
/a4NuvrTcCMbw5QqHV9c3LT23Mm3noskS6ezT0vnptVqTj0dgknJrnXiNYjdy/oQYiWyE5G3Vvnd
W6HrgfXq+niZ3ETWFFGDW+acP9QjEjeeIfd6YVurgGqEFUaCSvqx3At/BqpIixLXGPIrSMDuKYGX
FbRVt2euuLfKKhz2gmVGvc2viQWUwJjs+KTb4v+cnceO3Ea7hq+IAHPYkh1memaULFm2N4Rl+Wcx
p2K8+vNQZzNDEk2MAS8Ey3B1sdIX3qD+h829XEcL74AQZ/2eAM+HyQ655FblqhIMBvUi+m/lxQSc
enBPLD/4bTwJVoBLAjHc/xe3evvZQI2MbTsn6U0Lo7gJyCaac2jn7pdes/PoZAyWc0H598FwUnGQ
pG+PMFE+ZdNflUvsVlZH2CMutNXRTG9zYRYYO8Wqb5j9dBNKNx0kL3uzBLVIA8tZgLZrXJhAfK4g
685uhoDkdhVt0naXxhndKMgKCPT/6E6PXoGZG+FNjhME3PsX4+749JkhPRNJQl57+5XjJh3oRPOV
ZWUVT+Y8RB+on6q+21riIRdj8gEam3qBUdYejLz7kRG1AtNP0rDhdUvdkTE4cUaeVW0O8Ih3f1gw
PiPf1aujfbs9HagCcfwwmGHITRxUDFXWtSj532LI2HjMT+IZZl53vf8xtxEejAEgSNxb8Ps33iGJ
UQz0eQsI00jqFaj3jVZ+QoegLf0+rLlbayHDF5vCy1HTaKekupAV0ANBvY7gcr2PGjUqutZI81uJ
BMW3sGzGlyxLbPWcoxb2j5BW/1m2hXNCYb97Sg0lSoO0yMrMt11cxf7D0lK2g1UNhmZLpo9AVCdo
amTUNquvtcidR2EJ/QTrWHx9/xcHLLGgRJc4cC37BMpYl50t8hvI9AxtYU/9PEFZ972sar82Xldc
HFCQB03nncoHAjsoPy2NAGQE1/dD29fUbvMovxV9WV0mO0JjQrPGTwOV5lPn6D+nuvOuaSMRZcza
4kzN46gXvLehWWl2GnWTJW9ZnVtlCNErcNJbQ4H82tWuESTgeg+u+92ZgkoASgoSZdtxVkw30tTQ
Sm+j12SfMTrtPV/VRy/xM60SC8p8mJ5LGYmza8d56ReVPXybcTA8Aidvo8YF0LrY2AO4dje3RagP
0NWxubvhqZLOfmU4w48qhfaJdOYYnQst/S+Hme4Zl7IGFHpDA2o6tIQ74oKFQox7jsvj+jS0NP2D
dAjt2u/SuE+DRu8b6+D47K3t65GXv38VMFD+xteoTbKbWyrzB3Oo7Rvmxc1B5Xt3FLJdShT06UA/
vx1lpEAa5XXI0raeVdwgAYbonMZR553un9HdpQN0gsgT4L+NqK9QB7INjycuNPX6Yhk/UaL6gdGX
HhQe0s33B9u5grkNuAepwS6pof52Vp1Ux8hJjeSWDrqefKVPkn7XcczQP6a2E14xQigfVbUbH+4P
uzNHqH20tLgX4AWvSz7SnEy61Baa720HArqfyQ6CMKEEFutp+6QXXX9Q/dnWfhEvRRgSBVu0AzeC
78A6+ypuqDXbxUB13R/qQa+fXUUqoGLdsv8yq3pvXOoizsT/WhSp5CUfIml+ff/EAcsuwoWU9zeL
i6KSnjJ0fHMBRL9AaS1Pld70wOTK6Fk43ZEo1E7fjHkDpEePGr77hivUcyHSGkF5xjU6TLJEWJ36
eDKfG3eW18axsQ4RKZJLk94GeOU0AVa4T6kSaX8S1vUHy76325Z3F3TVAt5av7qItHemSWHnVoqU
imbWmUp+sVpv+r1u3PjUd2b76FVa9H7pQfDO8KXALyxAq3XtI0LFLUxzulZRFOYncy6yU+NetBy4
f9w/99L7ZCROcfDs7VwYBKkY0iy1gW1DGqAQCIbeo1Wmhsi3VNL54M3lERdsJyxkFFQAFwmFRTXv
7QEWnp57JEoInlpKHEDOaC6zNoWnKcez9v7e3RsKot6yixZs8rqkXwBoKZ0ZESdvHuA/1bLB9SmV
Xoiac4+D5P3R9q4IKEoQbCjwL4j2txOrFVjGrVCSW66OOLXFoFskAIIHb45/zOCq3n/rkp9RHgOM
RHVgHaNEyVyacaMnN73N60fa3O6pGIz2kRQxPSeh1R7EvnsfkyLcUo4mY98g4gpERDpdYbx+aMVN
DOF8lqjqnErkhc73v+TuUAsyk479DuUk08ZJiZFJvyk5QUk1F/o5HVvtu8SH6eArbvc8hDJ9qa2j
8sktt9qNbRt5XlKN6Q1VeuJLMs+zLqFD3p/QTpjFMCb2MrwgOzUjIPg2G19nGASGA2xm0+uSzpwr
L3Kh9RvuJ+TD6quDpKmvaKN5ss2mOXg5tw/K8hvwrAO4DghkfZeNiURKaCKitKyODcMt/jD2yvSc
sN7BUHmj5XOflz6uX2jrTMkRF3qJWN/m+4yP1iDqtOzYTXlclZGNwqBLPKK3TeLbdvOUum1zjujv
BR3IH7+v5umzdNL44GTuLjIHkxIa3u3sx7cnU2pth8x6ztfPhTzPyKZf28I03r1rfxXG6ZYuQBPY
Hm9HAU5axHWKkNUolDAo+a+CodGcU9Q2ysHFtvcpNSQu6YcSuW7A3QuPXvFkxVChLB8Gx5EXaY2V
76izB29qVC+gKIeLJVvriKO1I5DCNMmzdbIyGD/rjKytTakplDFudV84n8fSTP7Jewv079KJ6K+U
JjHnyIQSv9B5q+oHTzrxmYegO9ljG39tZwHWBHHHd5d0+Fm0XQAcEVpvcB6R0feFYljEhZFdTyC3
kvDLjCxke1KaBtDw/QO9t6NgFQAfR4cBguFqR41RlTnYRSe3EPFsw0cfy/1au7J9vwQgs+KwAohd
SFbrPRU7NN7nuEzI+rumvyRIOn5zEQfu0etwx6dS5uT2kJOzCEVCIzzIIHRt58iiPITeLJDNrZS+
Y/ZZJb08uc3zXKdf9FyOaJYZ0RydtEV58Hs+Vj1SToUWoy02JIM+nQyQbIava4i/+bFrVgJfhKQo
fSUGGXgardZtH7J5bv+Qo15ByeiqHj3HKbQvVT6N8YOq9kboz5MpjIMLcPusoMy2cC5Ih9i769qm
heptXhZpcmtUPb/l6TiepGtlD3I2jvbH7oUPdpxjgpIOJbDlBL9K8fTQ0+q275ObAEz1sexNA6Uy
VKrOE/ps57iOxxfXGpBzguD2rysFiDwN26T371I0jJCkg6NHn2l1IyUy7iLLQkAWnKH8MM69Ejh5
7hzce3tngRgVLzq68MSNq2IqksSikC6whTyt+0fLaZQHNMPcowLB3uoxBkKYLB56HKsvOvduXyI3
R3e10eyTUGM7aCWMTS+LnANW9jaSowABMg6dL2DoG8UtLu0BYspAlDNX8kVDIB7LdkqWY6/1p9lw
p9P9ddrdLWAl6ZpR56KKs/qEXTqivbg4MWWzof5ADWjqz9IpevMp05xCOzUUw2s/Q10w870iLZ1P
cVe4H9VUQmG6/1v2PjOavEuZk4Bok3lQs40Ud0LSXUASOrlmE95E4jmXBIe6g2nvDkUOT4+Xc7JR
TTRBkUAGBdZbghXsT1qmttrLgM5XgHkLfd/7E9tbVPJKSqcs6BYkIrBGUR0lJaWSVhGMQJqeogTs
gReH5j+AMI/gvbuLCj4EphH5DpLUqzdCr1BUp+SG80046JmPxmH2ZEjTrB7QOZ7TYCipHqBOFX2d
CpHU5ypsood0rIyj+szOd0ZceSn+o2dmEn+9vYtavspgoNdFyWQeg1ybcZQBbpU89MVQHzwZu2Nx
uZIf0IqF4fB2LD3rWGq8aG7Am/UH20uas+fAp0s1SCj3F3Tn3qHVS72JUWihr79vNDSmgEbM9kEr
8JrnbXUJ1fCIj7L3BhLrYCxKNYan8Ncyv7rJjWmEtguB4maj1mr6CFKO/+Arpf0FsMn9YGhFiVXH
EOrFU1f2FY8h3oPj32itJ94Ztfbqm/QmtTubyPc/lI2M1NNQJUOq+YY2YYuqmahWBwmZd+NjbpIu
AB7XOZtTlXnvP9pAYEiGyb3RRVlHbniO02FGvfim2AaWvLWr+VkepQ+pnVkHR3vnsDEUVyfPDhjU
da6R97HR60Oc3Ur0xV80pZNu0EBH+jPulPFimOGkHRzvvY0HpwbSECExmO9lt7xaJiFn1Dpyom9c
KqaXrjXda61EEtHEzjtIJ3aib1w8AJ0S/4LJXE+umsq5h9ZHF8iN4k9K4SWPc5Pa5ZWPb75AmXNu
9DVr7CjhGR6s4d6mJ4khjgFlROy/fPhX00RLCuhGztgxOh7nCTDmWVqxPJjh3sdclLF40rkueW/f
jlIavRbKpZvm1Xlt+8CaLDTaleR/9mwmB3WFva0CjhRsOznTlnSFpmaCzL3M8Gmzk3Osi+ppVKIv
ld6Xp8JxhwNtoL3hgFEsoTukAHbM26kNiA9VA3C6W1Hm5qnltfk96qA3K2afXnPDOmpg7X1KSsbE
YGhG0VhfhS1WnDqNaebZbUaX/pTqQ3hiSxanwlDe3zLCJ4ByEKVDOP4bDAz5CloqoLRuatiHT1rV
1+ckyo8ayrsTQuyBpgkgqY3KIfDqrjNdylxyipxgpDb7oaw805/R5/12/4bfVl+ZEFQcCNzU3Del
wrQvQUdVWXpzGzlfFO5FemDC/Qh0Nr+2bZs+ZnWovrsKyqDIWRAvc09uELoFCL66jlIukppQ2Yq0
nres+nl/Znu7EFIKdUkiLdpey8xfH+Mcy3QdyuzNAMULBb3xS6+eLtHU1ydFKw6+49Foqz1o1kXL
s4AKdl/G1nOV5X8ndZp+khy9oGqn9Hx/cns7BDAbsTplHrTWV8N5+gSvoojS29TDM+iAHASKgH0a
lZyA+0PtzgxQMlA9FGI3ISQ+vDOCxmxGU1G8S2zo2YPeRjKIk1g9N2LsL/fH27t+2few2UEZb2l3
hj57TuFSePFSLbsQyle3cFFVvj/K3gckdkLcgmd62+OqTKx8va5EBM7tvbMFDfc8Ual8iDq9+Q9r
RYeBDJV2C0Hiaq1cSsbZYHMdRokeX8owFsZJGefxjPhznx8MtrdaDpK6NHaokm2KrWU0O01kcBcq
QoWkqIkhiB2EnNWZfp1TtkcIlL37A9QNyFRIgwDolt/z6pSBOoF5UvCMTV5efGty2foI6MaXuGrV
b+jLzGc9Vo5gqzuDEiTywpAJs3rrKIt9mDfpUifnA7S3MkM12c+kLYPJllFgKzlmxl3T/nF/y+yO
yh25KEPxcK9VmhRHh2PqzMmtLbA6jMmgrxktokvWCOcJmZ7iMs+l9v59ugh20pu0tKVWv8pwqt6b
+yppGHRq0w9dMYsviRanp1wfzQOw2M6RIO+nGAa/iNxivZS6I0yvD/ElHB2huZfQzuqPUQpy8rG0
SW0OUoudjcp9smA/YEUuKhpvN86Im0dmiJB8PM2cv2pRh9e+q9urFQ9K69NrHQ4enb3lowlBirbI
a29gx3zEueh7LB6hxSlBHOMlopsiejCE3l8K4PGBqWKFfX/PLGd7VZBf0oGlrfsrIFotn167XW9j
036rC6365GjjB9JY+xI7+HI6oo6vU1SM1xGzrq/3B95bTMYkPUD6bluX0oqmSwGeUIhD2CsJ8OtB
+jcfYDH1th3+h7VcQOuU/bm3N+WpSSdkQB0+vhl2KWSARn7VBpVRCYphJZSqT27BQ3/wLu28EzyA
vOsotoNWWEd9eM7mS8QLHW7ptdhekb24eHAdLODeKOiIkWAR8XGHrxYwsWtoUZKad51b1SmdlnJj
1RcHt/YO9IzzRsvPgfhDYrWeTBJlQ4V0NkA+jSAi6Mn7/vDqSvnUcAyTIEW1ovDboi4qX4MJdIoi
0xKnOQZoojqGPKgwbI6KTTqJLdbSxKJxt070epPwfbSb/CZyO0pONBbaUw9HG/9vtDj5F2aaXFU5
O7/d37Sb08K4vzzlPEhvEARWH1u1SqOqsplAHlXWc6NX8TnBjOAjbFmVAjgOy33dqR+LLD9KWTbH
BXQWIFlLI6Divl1j28c8VwhVLVIWOSymMUKc2h7p55Fu1kEXZVu0YixgLkRSpEg8naubr7WnmtMi
yptaCrPGKM4ez5WujZeksO0Isw0QPh3GJlxUio5F1lh39lPtGd33d39t2haLPBv1gy36BYOIOMp0
ahVe2DUvAvpbYKeue7LT8N9Uj9uveCNOJ0TK351g8wF4NsAM0F5zNl28Mp2NqbLpUopc917ASpgv
skqOuDR7S0oMBCadg0txadnkryITjNbrRA2R+dVpbH/V1G646NEUPpvWWBzcf5tLYpnQq6GWff1q
KEupemcMURWRY2WfPGKik6NiDPr+9cIThTY6lAFAuMuEX41SeYOoWgkyNh2G/O9YVNE33W7cK05t
86OZFPS1pWYVzam2u3enN8zw9dirME83UBRUVYBu+IkUZ6PwnMCuRYhYjor3Nd/24NrdXojLgCDr
jCXrWKhXbydb8oZgQkp87k5dJHxdj5DOl6n73SrLtDwNpDyJ30rRnNSJmMWXXmY8W1E5v1i2mfcH
b83eXmIfkvBT197iThJzZvUVj9d0WgoZQMvjFxup2so3jaH7en+dN5ERUyel84BpUtcmln87dXTD
RtTTZnI7rfqrAORyEUmIIQms7xO4jfJyf7jduaGmBMONq36TnnjCqZMZ2bCbFnvVTZgmpVIHgSMR
2dZ7pSKWmaGIDTNgKeut4TsoV4aDMPr0ZjRG5aFJE4rPg1LOD6rotPE0ONFc+k1sh+MJ2HD67f5E
d77rgn8FhctZ5TZfbSmKINMiaJSCLJ/tS5rV/6pTHZ0tveo+JxDvDrbwzndFiYc2D28od9D6SdEG
mliZCc0DbWX5ybM68391NNR/Vr3SHd2ou2PBG+ZC9UDHb6ZmzanoFstS6VjjcxHa1iO5hPXYWdMR
xGVvKBq7Krn5njZkEULdR1iWy1v24sOsDPPFjvL+a6LU+vX+gu1cqw41RM4bARHR0SocSGECqGUI
hSQbreQTZiTuQ0TN/v3rRD2PL0cLnrrxZp2Izu3aVcmwulr8OQHzDGSmGi89XICDCek7AQ41Np5b
gmTAteujrcR1noQz9wg0KUfxgUU5zbmE8OBdxhwXBtQQ86QLrC6KR18vHPtHCII6g5hpqH/JuUNL
RpQl1SSYuOnXFm3XOBBysLNzrvSt5yPIzp+lhRcLwb6WQ2nL3eSMVNLUnkcdCl/gCU+JQRAINjyK
qca/tWiG5KJaYdv59JTDox7Szoah1AeXA1AvzJH19+0bVPbHHIRgimrHuRqz6ewVs/tRtMOn+/tl
7+uiv4Mi1cI84k9vL07FTcO2qUGSWq0eB7QV1Ks72ulV5lYZOIjIB0YXjejimOH5/sg7VwtNChYV
0yqaBus5do5swlwHQ2L2SX5O+B4+1b/hmsgIP7dCPQIu75wMFDkgR9IFpKa/nmkkIN8oJQIonW1G
57IM5z9mZ/QOwvG9lVu6frQOQEFtUvRcF2IOCcxuIbCGx4Ru0xdlaLqroVZHkf/eUAssFlE6akkb
xWbFtBQrisggh8YuT3UMYjWJ88xPhz46WKsl7nuTktsL6JkaPlCK5TFfvu2rMEqZOmQ79aXwYCbK
cLWlUf+BqIGWBXDH40s+Jvnn3mrwEry/R3anSBmHpJwAbgMoqwfNmaOEfDUTCXhj2xz/zMPxQxc6
9Zf/MBKvjgofbdHgXD10ZaY0cWMBpHeUKDknemQG1PDNYNLKoyB7b+MvW5AWPLXhzeUph86tXSQ+
MRbGM9B26/zvLMzUwPKi6dmpkU+5PzXd2Fm9BcSBBwsKS5uXrpCzjR+jl97Ajlh/GFOhf6+BiX1W
Kyv/blW5+DpmdQosymlE70d6qP+vxFLuN8z0kCVSOwc7e+KdrDo5fV08osSAUhY+mVBUIplL9LKc
/m+IzoiSIdY62j6OKDWSGnppwewr8Oe8P6ENYpTduLBHcAqBUYdW2dvdyFvRm25IVarA3O/GMch/
VuS9P0oHMn5gzqY7+FGj45dMreObMbjtfPAo7d0ltLMAHEPQoem0+gWozI1Og/IjADSr/G7YkRaU
aTQeFBf3Tt3S9CHjBUmtrVF2epjK3kpd8MYNitx6ErfXMc6/eRgpPnj62ASeF+sP97/t3olbtCIg
QAPK2CTaM5lnG5oAj3tH+YHlg/ZSpYl4gKDdHdQW944BBI7FdQtZS4KVt6uIgH+LoAORijKryl+u
Ymp/G2DEIx8zv/J5gDR4MLW9p446JuUKLv+tPIrw+oInENSgI5rqI0diCrwYn5lKcU0fByv5u9Eq
0znL2Lv3P+p2IdHAVRdZaZzMyVDW28Voy6Esuamxt8zgjCGdjYYRqoh12ARjhygjlTJxsHu202VQ
8viFEAkZcl0sntGLcJOEauZi+/mgK+aPAU+GIPslbyky62MbltZJ9/ryoJW9heLidgl1GqYiESj4
sdV0XQzGmnigr2eCC/1DwZPQ8ocYrKYvbCM+w/KOrlHSgKeW0lPwUYdM8HvYtuWHupgG3W8JYfWg
7TNxdPVuWTzLT3N0kLEOTPJNGQVMt66TFJLPWInzu1OPEAYx64vDk6X1xb+aXZSWD001+dhOsviR
Y3irXk2pG3+mZtnPgGPs/AiRtXyOt48rvwlmEd0RUj0qam8PglaOpZJ1BNNq3skHo0/Mi91ERwDp
7cGmrLDYsrrcmBzvVWLgFAl614j6U7nKrRvCTa4IqixeBLdNbK0P3py9zUcKBxySYgRd/9VonZbH
LpAaAljsGJ/yzFJ9T83GM8kkmCjVmC5dVJpPpivKg1Bld54kU8hJuiCj1kivGuBzBxeOdGFA/Kno
UZpuap4x2tdHdlV7k6QOSGKsspU29ZYa1ee8z5dYLxL5o2jg4QVF6Cnmyc2UAm9ItGJ+r8O2ekpm
Axmc+5fK9v5EMIVwBQo9tdFN/BzhSIJlNNJ2tTG1wZTF6WcncoQ/l1jrmnoqDt48Z+8Wg/JLdRva
5BbjE9seEmRlL24tms4vsS6HMoCHXEiQAk0enySPExYaIOzaYC7dqvIzPGH+dlKvdc+LD1z5mKTt
1HxZOOPGM4BVJfPFEA8femOW7veeLpY8UzNL8peZxiG3YhfmBiIhuQV2107H8IpNUIzlKTgt7yRM
TFGQ1fJa45z3qsB01AyLFmPQuTP8Wfb1y2AjHuU3c2ijKKVr4VMOeEMEpTvb321+VuSroi5038xK
8yWsOqEGuUnzEJdUWX7JnDixT8OoGOXZK+s8xiskQ5bYyRpqZhHvYu+PZtZbV2kasx70IA8VJh2X
ZVBVbTP7PXZ3Y2BNdv/DUijZnQZrdKargj8xhzx2Jyco2lkpA92SC3mxVYrhNKstfad47FN7sbTp
9VPWhrZ70btYAI0DITpyfoVZYU2ej92lk3ODq2iVG99ytFu7lxyiHN7FY69+UpvBif0utHs6H3LQ
jC/v3oSkBQshnDIAe2LZM68Sg7GKcLyreFPTCtdhVAHzYELq5kPC7/5pR07/9f54O3uQng8qPgvw
hi7dEhq+Gi/XylkqdZzcshLWV2B6z7ntiMwP1cj42Rdq+yXvAT/cH3TvSqGd/At5DNN23eQFJOjx
PCOgNSWRcaJ2FZ0VYuBrPcgjM7XdoWznl1w+na11UgzuH+lNOwMN7M35hVsaF/XUCp/aUj34knvX
xzIQgFigt5vg0pqxQMlj+KyqV1mogDZ28oVMC9XV0ZU/rBqZlftfce+Zox7uUMiklLOJLKUz90NZ
1/Ftyh0UvZWQZvY5VLgvDt6evZmh3kIhHIl8alTLtf1qj6h2Z9MrMePbrCZNMIQIL3UawlKUHXsy
mOlI5m9vzWhyousNuZLYYvV+j9DLBRbkdHLVuboOY1OfyrRvv3TNYR6+O5SJqI8HwxL43kKMeTW1
iNe0V0Fl32y165+ihiRSqwxs7hYj8/vLtTsUUDo4Nja5h7X8/auhikkTc5aMfEWsp88KQtN+HYnm
LMz3y3YQlC2VLpA39lJiWM1K2vZoiCpddsZou4g9jclDrethSJIJi+n+vHZuEI2qPZkb+GzwJqvV
ik3gzblqc2MZLjLzs+d2fo7gjZ9It7rKqcs+UMc44vhsU1Z6htSEoFoC3AB9/PZrVhkwmFAlHspH
M/5BW6o+p6ZWu35jjTPcztFABEHavQkBkVr8twh48GHwu3zHVaAJgXoR1ODEc2EvdYJXS+qoDe8O
7+cNkWA0aAx0fj4o3hAVfiXq7NmBtZF/QY1NQ8ezh80WaEpefctVNSe+iMuhOFiKnYMKApUMhdWn
CL/uNo5arqOBDdDDHTEAoPox+02Cg68lmvRsy3C+3F/6nQbZ4pC0WNwgYIlz++oDeLxM4HgImfCE
0n05eeND3S1uO/gAnFKrTh9sB2EVEyLZOZ3nhGJzF+LEBX7p/i/ZuQsBYSyUTGJj/ln9EK231Dh3
eTaTLOsenNCKP3u5Gf6X+VJGpnlE2xzC1+pgNbQ7W8sDqJq4sr+obu5dzFqYQeXO1lPbu8Wj41Vd
IMmDgsZC7ztqNf1kUmC/3p/vzmUCmoey2oJOhG67mm8WonjmDCBC0I2NTiAMuUysdA5sPT6qdu0u
8uL+icA7RLfNbZK3WGPkqYHIe1gb2MSXrWudBlVvfhIjVh/70k2+lXFnPVhieoYg0ZPqFfpjK9r2
8f6sd64aLjSQfqBTuNzs5e9fnbdRtwlO5opZIwL4QAiW9U90t7pPdhejX5aaze9UHWBVv3tY2GFg
tniO4IGuy2ORlFToqKg+asVoh345u0ILQGwVlwZTqiLIW6dQ/bZy2yMPwZ0J29zj9pIfcKzXJYcK
FW+7l6n3aFrSuehVUTx6gzNeFTMun5I2NC6Q5o9AcTtnaRHoQXSAO2RbDTQQKXZEwaCxhuQ2GJns
bPeIHNz/qDs7+JfSIRIRi8r2mpAfpo1LnxBlykRzqhMWKdGpMY1LO6hHrhI781m4WdQDTI3i2Dqc
iOYZ27GCC7ECdeGPRqN/kqBgD26gHUQNCDdmQ05CpW+ToSPzY0mpR/ZjPclxCAZZK6AkIb4HwxDF
ykKAtc0XFQhgfDG0qobFjcdN9FxT2DkSAN35uCwdNxSao1RCNi0+hMPxnsGkNCRZvJSYz34bUmfh
/c9HiMadeaNbQ6zB7UuBE1Pyt4eSqBdDGYEyrV0483PhhfPEO6dpP6CJz3WQaF4tz1U1h78hBAkf
qUja/qMnG+Pn/Q21/0OIFnmQkFPZ9DXduhd9xw19w/05PJVuGQcNvm6xT6EshJHRapdWVFOgx7CX
83jUMcEx7X/v/4rtl+drAEKk2ku4vCmlI5lrAZOrMIJXkeOM+D3+yLUS1JaVH5yg3Qmz0bgheIHZ
cvrbL19BbBF9hHcVfhoaN1JUJ4Yf4zwA5hr0xIOwpC6vpVCVxHdC+NuX3IqaG4o2enVwRe48EuAu
mS+FUZCDCFu9/S0M56XSwshwaFpR+GlZ2b8lQsk+5FHV/5MoRvxA68n8MmXNBKfdyedzqrQmBu8z
AucHX2YbHL79MesPo6kkz/OEbnehFl8EUh2pP2iT81wn1RBkk+ae7cmFYutGn2AwTO+/CgiFNAJT
YI8LXnP1OtdtZXT9JMQtIUWDW0uEHxTNYPwYcV1sgyytvA8T1LJLhC7/F0cqHp6MpnIE6NxefPwM
QJqLGgjI+HWQkJhsxshGTz+1HPmQW/akBDPmwd35/p7fhp38v0njF9wirZX12pfS8YQy4AnamqPi
R04CLtMqu8ts4fEaUa/8fH+8vTNmkEVRWgYDDyT27V4TSEph0T1yu+WVcmrHarwi+NNB2TS8A4b4
3lDIiFOLAZHJUVtFHIXbR4U7cKcsIkZ+RFPvFLlz+VdbYA56EL3vjrVIj5FPcIGYq13jJFaRFwUW
8zIRrW9lgCKtVh3BlllH7bbdoRZzAjjZBDS/1IhfBVIFEmraKDBg7jNVfBZOZn7L7aH/UOa598f9
xdrbhDyLNEqX8Jxy/NvFakOlngs7iW612Q9nswqVi5NmR5pM7t4wlMuoKgFxZ1YrvJqRR1YZDhOW
bjjdxRcHowL5MolJiz5JS+u+o4+Khn7uzHSf+6qWf8coiSTXPgqLNBAlkm8BD8QUg+Hzkq8IVLQJ
bhfUiv1aTurPEXoFYoXhWLZB6TRxGtiOzMxrQ2Qxn/p5onLZCjv6X4yrFEYwdR8CijHiMQnKJoP0
LltFkf7sWLEI4Ny5/0O8PyQ1sFCbRNpqDH0qRNn4sQ5LtrPqjoUMBk8vyBmTxnEeIletTRxkhF3w
pGZ4KplkwMiEdXZz6uU4emdy/hSfoREs0Yuqz+63REvH/HlqPYlatibrM5ZX6Ji2qWY+ZE6Rgw9x
KpE8zPAr/rIzUwv9sOiiEBGmPp+vTgYJ4qzJsqs+Vpgbu8+E+9NDFI0FngQmwCtDKcFET4PS/d64
2eK+ajTNT9JbT5wVtUpf9FrWWAoM2HCiWZPI7ixVpXPOYRh3td/kUV36rdpGv5Ew5QVov1hv/FbH
SNMvCm2qgMk01M1ixSz/pvYfJwcPxc45AA20NE3RlKECuopdwph2sC5wB0/MIXtaHANxX4mAfMxU
m8XB+V7+Z2+rBQunBSlinmpkqr3lx7w6dGHTlEZU4Jrj2VF8pp8w4lMbz6d8VuXZBtFe5Fl80hxx
NPA2iwA5QwViqaWhLrO+WNAx7IzGwV0G08j096RvlO+DNiRuQJIlH8c85S2WVWQfzHfnFYYgZVGk
gQCpIpf2dr4uxJquTk2qvKJsP7p8lIfCkB8H052fEs/8h7amcm3GnkJ82dUHF/dOz5Rynq5bC7SB
y3t973jWrJm57OIbVP3C8ws4+9dJUAbyO6zgH9rG7Mub0YZ669f6nP8Fzqj71BkeyaSNm4U/4tR1
jUV35Cy9s+WoVCyNJpf3awOgxos3n+NGBTVV2gLxD4/8MenG00hT7GB37607ZCMuXbIAnpXVhosR
jtPnpBE3N4/tW5LMqNh6+b/4rJZ+0nnemZ7xUWd+b3pcwdDwgCEsNJK3iy6SKc8GN+RtRm3+wgWi
PYaNoTwnitYdVGP2hlrkDQgEFs3rdRiQSuBnBFhsa6TMfYvez6lvtP4ypsV0vf+I7UQ45MN0khmP
PHz9JUOETwGnYAdeJ1No4FvvRc8DMhCStnsir3GRoyz+7iFpRy79SMih9BRWpycqsQHobBd9lrQS
54SW/1f6T9HFw1aZ0tqoHByYnc2yNHlpXqDhvS1tlYkxUMFQcCn0dJ7obvytaLLyL3DZdjBzTfqo
GE3/4WYCnMyXBa9CpWEdKGfAwR179Mgd47oLml63PypTQfI8tlmA1pZEv6VqDrgvO6ECaQq1atQV
FgeQVZxlNx5hnU1MN1pl4voRJUm86TgQzn9YwiUaIUYlJwUG9/YsaFFb2vhnKY9GO+c+DQ2BH2Hp
wrttpmsZZ0fOTbsTgzvJ/YKMK/HW2/HCNMwTR44YcqRN9RfOcF3gptbRRtk5doT5VN7pplEVWx87
Je7nxEld5RFBbP0KfbgIyrlwsUJorPcfO5hQ8HMwQuEqcVeB/jROXocYkvJo6lH5MigQPnLD+yNJ
aveMGPuRbsrOKX893FoyIgHDbNMfJncXXuwLYWnXySjkCa1h/Qw67ahcv/clAaPxOFoU/zc6ZdIQ
7YS9qfc4Idfv61pX3kSE0XbXK/IAlbw3FKBkHOI5b+Sl+tutMVXQOLTG9B5RAVjmggOHWY18RQyD
z/cvrl+NrFWcw1FeAGgoS23rMG3D2Uod3OHYH8WDPQ4YIYx1Mjy6NO9fRjUkrhvSxkvPmWclPxsU
7wZ/oPQMUKmbOJGmMbnzgyyMhVFN8mz/hgz/LL867WjKswlPUQ102j/1KUcRyPokkPy8ukVqfU/+
j7PzaG4cR8PwL2IVc7iSlGQ6dLvdcfrCcifmBAJMv34fzmksq6zq3am9bDBEEsCX3mDLbo4csDl3
ed26H71uc76izUru7rpbbb2jKeelR8J896uvrWaK0smXDym1UPbDJ/FcQ3gffQtYAGBZtGDdWMQe
GHY9nLXUD8LeBiIfBuAq/B/jNkn9kIMZ/l4oIdewdmbdTnzR6nOUFvr0DeHAWZ105ldf6McRpKhQ
6jK28pxKSDOyKpy8cQV7sHrln4bWOZOjtz/GhZyTNgT/7PXrrjLw8rtvrlu6RY9hfG5W7l09V+jv
Got+2AdEFB8UzRogkd+1jqrN2ytf2HE0XWEOQcqH/Ht+TYwGCZQ+4CInUqc7zvwv4jof6feszvL0
9lKXGmE7jIAUF7US1ttj238ya9ljU9h2Fo51m+ferNS2UMS0aiW/Zgdq9aqh3LjOkchd+73dWs/K
qP9aEIvG445PZzxhM5Q5HxI0VoHlRQsksZE9zj3AeKNUeNsnS1bblVD9+p4HNb6nBgxDdlG1s2ux
aezWy1xG1TODoRuyW+2mrgb15+23emkVHzkbnyUudFmcDQxP35K+L71v3HfrbCe2VqGJ/vYyxutb
d5dH2xtmBGOSxrNERy5DVylwVqD1fPXBAOLyXE3L5kZOu9RTBMSaFjpaUPI91az8XOfZdloLaLHF
ZrjPkFeLn+UsAsDKev5pHRf9ZmY7f77yKy+8DSadkHNJkWhzn6djtGt2iQmkAqctQ+2BXg3exipv
/kyaj2AHSj92aEINvF/bbKLubbZPzVbNhx4D4tiZPP04eQpz1tzdkrd/2uuDtk9rXKQS9xwDXaCX
mz9XW7H4pZXhyDpOp9puxI2TSidqXaOO/34pWANAfk3qZaRzXi7laz5jsHq319OUHuu1qk5lO6SH
2qqu+kZdeOHA0WFiEEbAcp4P+FvSAhBx5KMZpO/niRZqE3a0GatTaqn52XVy2UeK4jULBydV74G/
TLtXFq0dl7aGvEeBbT0t9jjZQMLo9sTLFpg/eiBezvvchywT2uW6Lcc80yWtPa3DaXGYrPFTVjfF
V180MxJvjHlvVnMp67jMUmNvvXTL9wB5CBXrjlKP/Y7Fji136+n/aMbQRE2zVHlkZE7vQJ7SrWfJ
DIb2b905yB4QQ/4sCAL6iEu4mctAYi2HyJwWP6Ub3RUfh3y7ahJ8YYfskEoqbLrRjIT2//4/1yMe
elgX5F1+2/gFehN4uB9MYNsfFuuqQ+e+2V7G/n0ARteaPINmx/lmVEHtWGlA+Yca+3dDWflp0xwZ
oZ0rYtMf9ccANkTcwOwLi1Ze09d8XcPAB6ThwLgP7WkGmC8f1ABx4KuaxrCwKj1uRCBjaMhDhPZ3
+mDCCwHWOJRXbuNLj4wAEpKolPW7AuTLRbPZayrNxrxz0Uv/IJi/JNLF9jqy1Zw+tSnKwSHErPSU
9x19hUEJIMJvn8tLd+hOWtrzZOYN9EBf/gYh5LwGqZkmrZIV+y6om4QxUBr8WaegM34iTV+ocGLw
kUhQk8WNNuUExY0xunYQrW0+zlXpfzG31vljz93cxIs30bxHe+4acuHS62IYAXSf3tCFvsxgg+Ly
RJo0+PAOICfAk8U+DhjYldK8ckNZFKYHd2dbxE3vZrn+2ShQ+bvyyi5cL2Cp2anAZcBVn3u5tYVO
ZVQJ0hMrWKPZdOtHu5X9X1MydluWnSXHYNgAIvTyu8iq8sbCxQV47Qt9jh0tyJ+WDKWwqFs7YR4z
Wfaf3t4LF8Ipmx9PCbp9Oy79LBxkNTlmNco0sSrXF7HQevc0NtMaHMDpBB99hvuf315xf4izMw9c
lf2/o2+gRZ1tvtFIgZ6PWZoILsSBpPogLfoFS43G5dsr/duPPVuKXB53Urzc9mHT2VlzKmxuilVq
yby42oOdB7UXUoxuelT0y/KDDbcZ9I9LEwRy3zZrUqFT9GOmd4MRPOprz1ZqWUMI2y74nbrm2oW2
5hoPTjU7j61lLXM4YsdsRJuho7KuNZo+HsWktc7tavZ0zbyRDvpvY8RRMzKzeSEHSPssuOmdRTyp
GX/k0FyXFNhbZfafnWKkqUqRhGdkOVBKHqZpmIAgpEr+YNwyW+DUNPvTZGwMl0QftI+oAllJQD+L
gkVqdvDE8Fe/a0lJjNiebLd74Ppe5AcmVaCsUWnBbgKrSHDfkz1sH2xSbi3y2wDlV9G0mrgpqrZv
+U8GI481U9h6mKHYdgqgo9YfSP0B9JjdilaE8DEGiHSr91BVU6auIrzW1PtBl6Khe+oxPM1r/bOC
S/JRlRr4by3XpoeiHvos3Bqu5GhbQDeiaOZ/tCwKKoDbk/fOAgv2xTfGzgc4s3hpXHTeYB9zpqbg
3Ldy2WIEupYhbMTEsCuoukxEkvcyhVu2MksZ2jT3Yz93fe4jnJBVbMmpVDFsCL1GkGULIJgsHcro
jplpeuhVffsPTIm8IsDP5Ze3t+DrEIMOPxR3H6abiezXfq/8J5ZOQjo+sz8n0WkmH6RmFt9qoVdH
vZnSnaa3HNfCupZ3XShwWHXXiaOOg1N8HmNySTHjOMJNVuSPvFDYg23Eg92tDjNJAP6hi7Hy71pY
2YhX/O5uHpq5QIcYwlI1XnkFr8/7yx9z9gpw8OXjaB7s/gr7xjaVtBHcwTwsup/Gf/22/1Uah47B
UNQ7x5Z6bsPBmk07wQYhj4D367fK6fImLKstOG4clAeJZPZfl647rpQkhktmH5jsV+x/vjHMPFmo
ZrKSiWvzlLr6ECNtADdjzr69/XwXXiWFOVAB/rULDe7l+39WKqTrFEU5GYkCux0PSDw9ST3X7wbl
5FeWehUXmDnwEg3YBTuq+jwJZJZX9JOZBUlvak8br/XWmMdPwVgEaPNb2bWgcGk5JMfYDHvr4dXY
12jt3RijDBLyZhffPGlHJBNGFJSpFdnNds1O6tWb3Cdre2VC3gkiMjgLe/MgcifFFSMxUq/5nE4y
BV+ldca3vt3wjnr7s73KYfbFaNghiUA0etVotRWoG2wY/MSpiiK9acERObh8ms1hMN1RRds6LFk4
NcGQcUvm9ftRbe2VLvalF0y+9y8Lcpfu3V/If7bOZjKOMArPS3zG1g/Zanv1aQJtOpDb1+1dzxV6
JbP4V9vnRfTlsUlnrABlR3bteUlmc3s3AHuCJK98d7wZjLHGcZgZGsRgaAoToKrch41ZOHDgsGy0
YkNO6a+xnc1E4jjj3OV+lX3ui3wG39CP1Qi1vpbXel77/XP+M2nAMNYFIcvE5uz4av5G+NFEkAzA
GD+Z3VL/9ibrmgjvpQ2HNx0jVXwFd33cl+8/MGGrKROUpGiH5TuWFi4Yq5UZf4ZC0ue399ulJ9pp
YkD6aD+8OkydFeDCxDwjQe1kOZATq7uiL8wrl+2lJ0LoZNfW3mWGzo8Q2V3TUKywq5EtjyqF9i79
1T5MA3qqbz/QpQNEUQ8uBNoKkfQsj3PncfNrAOzJaLR6FnrOZH3ridsflGrSrzWohDyC6iZIXdMF
BJ/L2GS9UgFcOkAA9VAe22n8PPTLD2jUs13LcsXmHnxgFm2o7HmQwUYcbmqn1fTE7LJrz33hQ9JK
49RSEthcxWdrrnVrkJqbbkJJg41X2ww3WLrkydtv91/I5dkJoMIiT+Fy4kI8H6vZwvC1Us/8JINg
1Y9xt42zOJBflB8bBAXkoaSQ9WNjHEYZ+62b94fNmGvxaHs+EJqtcLohGhVydN9FPtqPKq1yLwQi
nmURYqtyfRcgi5O/S728+yY7R2p3m0IYK1oDL/s1IYNNjq212zHb8mCMdCczT3aqeUakKnxZwnY0
rDrp5y79Iluv/OWrqvqoL5Plxyj7rP6NaavaiWYxTN91bwVjstjz/HOWdncN3X5h0zsQSYB+7IIO
9Axe7gJ9nnyvmrsg8XwhToaejcd2srRjJ6v2+PZneZU60g9hNLfDQpHeewVba+s1F5i8M+4h144A
gwThaOdlDClkOzlmQ8mEjNjh7UX/1TQ42wtMAKBika2icXq+5Wjh4nSKbGKCRI92pC5vKQeY33zs
kHq9LUgls6hlpvewTIPzfhur5kGjofFeulWZuFMAh0Rix/w9QJo7v1LPXTgODm8dvRpo/Py6s2uA
wOVsZU8vwNTc7meqOduHNVuG/+e9U07AUTF3ovbZKqU1YnYy+EGidWjUlQgEdVFa57a49yA0qKTU
xu7nUFbGNdnOC7fc7ntIgKAg2MnTL/eWMGvRi3JKE4DJjHoCGcTbEqQIBJftAbN1/VYudXCQRrY8
1W3+1yhY9hvtB5JLNjjOlmdbexuztcpKLSC5dFTSy6CItLJubmqhetSsjPpeBI06jGo2j33tmH/b
F2N5AHnMYwJSMgiRL59+NVCbNoaCDND3xZddzuG9Y3U6r95Drc8Y23gw6jGkgJyjBf+rKyHmdU9s
bz9yzuh87h4A5wkvz7v6aVunib2zd5HLG9vH0q9LI5ZqMx+XzdRaKkQx/C63OWfjVd4/g5PbdyA6
ZuOkWZu13EgGmd/T1CZJae0ie1xgR/dXAtGlKwirW9BKCO5xEs6+0yoqj0EHqWtbiOH7YpYeYIFy
pQ6frWy+EuQvHDmwbpDbmTruNezZYfCyZdFERhlggmplUiqdP+6iq3/evnUuxFbqJwACwHRp1py/
+zbH40fTOgJQtbk3KG8Zn/NVyqOe2poeSTyk3l7v0lMxD9sRHagcv8r+K0uKfhZ5kMxVm55GYyzK
g9co0VypDF/LXcAgBmNqYYSxj4PMs029mUhxpPhzJ60h0w5p89X16UEo67vmS637GKTr9GM07SYP
CQTy2awLW6Mfa9N79tqivy29vpj+fgO9+FHmy5NWZIVnLt3gJ7US63ErhvSDWdTZYdDT7dqp2nG0
Z+EEwo6NuQkX2p5cvFxrsFpPdL3uJ4udqtOcg3sqIOeGXhf0Nw23TQTRwgo5MkUk84UmlWrr6som
vnBiuNhsuvx7V4TA9vJH9OWwVVo/kuETbh9sV4OPJroUV63avxI8Li21s82YUKJD/CrNb9UmVqdh
Z3W2zP6MclKHdFzkF8/tPv31HmbjgtXfCeTc2GfXgOHQSSvAziWjM9qHJs26p23MvStaMhdOJmvs
gEiwy6/bw5vP4NIRZL1IUW1f9FyWN3OQzY8FrzqLqkC5P95+rP1nn22YnYKEvzUcL/QTzy4cWTbS
y/TWT7oRmHLozUPxvV68cvmWGw2QK7sL8udN1OppqaHoRhMaqtcOyOv+Gfk99wOuawgBoMt39iMQ
bfbGoZ29BOXP+TuzufQkRO+MoT9ZLWbplAB5CJmv3RhICHEHRmC7XX1ttq+cn72hc/429tYS8Xif
Up1fv+uWon2ldCcJctqfmcIK2XBmfHwNVI6bvpYfVrVpkYOU0JVw/G+8PV+aRG0fE5EH0gF6eWi8
fqu9ORvcxPd6bzvYy2gfB9y9/dCcTGu6R+SyF6GFGMRNF1jpp1x66acy8LZ3iP6n147whWQ4oDSn
fOYS2cmNL39NSomV13XqJGYjxjBP+T7hDPEhdpFFORq96A9+I7bntzfjhTiBRKKHkiDA4NcEaS50
QPJD4yaNcr8P29DewUX4a4dSNhuqLjvvDnDqq4E8ZWUNwZtHk4VQu0n0gG74qtYfm5G6w+HtJ7pw
P6FeAPd+J/lQyJ7dx2mZQb8rV/rRZdMlLdItt307bHEwzvbfZ+t0oMFpMtLe5z1nn0zojZvW7uIk
dHFAZzS9PK66U105IRf3KUkrbHLCIiKFZ1nzojfWnK6lk2z2MlQHX28blH+aunxKB6NE2H8zynuF
V2oVYcGcv1M90KawXea6jlq9QZH5798wdG/0X/f26auRdrD7ldRrxU41u/xuorHUhTO8uyrWJ99W
V0LbpR0KewV4xW4q+qq1SK/SXjZ/dBOcPuxIMkuKJt2u/z6qUeAz6QWXRR5yfvrsxfCntmMVxviQ
9SxnjiobXyLQN9cc7i9tUAjqxLMdF4XU5cuDjpRh7/QtS8EHqLC2nJckKJcgTjNhXPlSl94dW5Mb
9F/Q9HnWmRdC23oIoonuac3txHogHZf+yru7EEzQW2FGC2wJNSzQyy+fKKBV4sMH58gVTfBLLqud
Rukm5Rxu7orUsQE09Rc5kovGUbPVoZtjRhtb9kxT6+2t+TqY79ZmgPt2GVmy7bN3O2ZMzP3CcBIP
ENXDVFUTyErpZlPYt15zb67SvFY/XFpyhz/tJ2HvL509vAtitcjIkRMTptoNvKVdEQbK1THrluZ2
sdS1bu7r/UN7AFg6H/VfW4az0E0TfWosv/ASCARTXDYiO9JPcg6t+HufUuTrIBWC3QNXB0j2bClr
0fFIqhw3qTW3gTWt13czkqXHYSz1KwXL/ppeBuN9KUYxHAly2HMhCTIwBs116iZWL7yDnmJgtcrp
2SgW+1CVHi3R3E+RzhowaFjL66C712k861P/7fx+1wXN/XIP66Wl5cB/vGRxAgEGIhMf9akw7vQp
HU/GYMynzRKdCqu0NYvQavP5HbI117AKl74tdx3dMCArr8vECapc6diZl+ij0RxNyBWRba31jWEy
r3/7qFzog+3gQr4usWXnqO6/5b/zkg6EMZxvNwF0jYAqAmDmz7rMV4oWX/tUg2A4aU4TfBRicZNl
aQsjVNA077dan++Ebw0nVUzlk4eH75+3f5rt7QXa2W5geyMgg5wgwsPn59gufR4dzGeSVlkwPZN+
9faH2akNLbI0yxuO9uaiYOYhWmbew+qRIKVXbV3DXWHNOC65El4fts6AXFdRgQZ0P/S91o79vVPZ
TvVIxj8Wh6Hhz4eTWLoinLxq+AOWze9+ry1+VcfBAMF6L/W2NO+HgOnuJ6egIgiVs8z+rdlNGXCh
Ve+2f/I6GNvIHW104zQnWMsDHbCsfAb0M8zxZK3KOmme1Rg30jekFQV96toR+t4q/ePVSDGAOFgQ
Y8PpyMvKh3GaBRKl0NOXeEIznnBkd+q5dvOyOoLIB8OVNwjTRZmGvkjU+qqRMfktM4kRed31fV6a
E417LRjrcBTlcKvWYk7DAk7CEiLjj4Adckjmo190TFDEOCA+U1Wr0USmVYzknsCjfZBGy/RDON3k
RlhTqjzWB8X/UxRp/oh03qBuq2Iw0pssHXTzMBsbuO0xC+bxS6WsxnRjj+a497zNwsiOrT166aG3
AHYfFr9YsYYAQ7vVX4Fn+P39UhZGezeXztodRU1J8GPumkWPgLe7U9Qupt0dihbrpLBD9lN80Ote
q9EZ3dbvYnBaO4bpUX+UqNBrPwyr6d5lXWXpMaz61pmTcRuNXobKzXT7oV7xqokG21rud24UaIpJ
Oj88ZTrpo+GOdLtRuBu+Ou4wVTHywoDHDJmDwoJZbeohSmmo/qI7ok+npUrNL9D689+GpQIyLnNZ
7psBsubJ7dk+TxBwm2dGHN4Q0q2v8hB5GOPbmpra+B6y1mKEwmildc+cx3rnTO42oxZll78U8qX9
lzyr6/VEv3m+Rzeqax43QkJ+KDLHLMNyqlb8uBx3ucUkZ0qP89ZNX5CCMYN4NbX5yUgd507XK+1L
sPIPmsXrSgwuvCZSa57+01HWOaEu0mqKZ7luKCIERusFoSq8fIugmXTPDbPcLMK32XoUNDmmOxf5
PQQNV54xtBplrdhJDVsW5twvn725lc9y9JUZB03J5EIHr6PuqlQ01qnSCkvdFJNqf0O16ue4lW31
A6+/agirwBFW2FOOHjfpFs8FsiHfG8/QnNDVayS0Mm0OPhdjjqmJS1dahdmklg9ar5ELlmVfjGHg
MJwL1eAWxtEG2BkckTnE80WjDI+XNGXGmk+eQY1XNG0iSzrBN5XV9Ck/0i4eSrGmv+TsG0NsGP3y
WWWrm8c49PiPLvpx7RS7YrG8D4uRNnZkFalyjkzXoSsIu88l1Zky9K/WiLBeUtdu1t0JGBGpFglX
emtsQZsG2Jc7IK3afscjCtujvp7HPEiRxJgdMj9lWdqTZ/eNd0e/TX5uJHO+Zx/X5TJcR5XmD4Yo
DffLUq7VDckqcPqiy0eQunhhzfJuqTIrfe+ZRSEeSqf3ugiFyeCOSbksD5kWrA99oC8/pnKjBwZx
ANOB0hjsD31eSf1xQ6Yp4CpEG4abtLZ/GoxAqgi+arDcWv5oTycGkeP9QiPADWu9BVDTofuCiiRQ
bvlYlAtIynQahjjYIImEqWVMIM9E2X6di6GA8GCrbYZeTm/uUfVj/U5D1z29mdK+mg6KjlLGpmtW
B/m3onvqu9YAd7zyxgZnGz6OQ9XNX4xcpfUBI0Xz/aZk6UF30fTvbu8P7xHUlTbylqNuwO3uJKxW
2lJriLr15oW+lN6jhzCaDd8HZbJ7o0dl4wMMPvltExrnw8p88SAwkh2OOfEAsKio/Eh34elEqIEP
a+RauG/FLbKG61fsrypMSy3gbHfdZhT4wGRL0X3NtVEaJxuG+sdcra135Nv6wTuC/aoiN3en933a
ZUsEJnCeH/rVA4qGKownY6sQW4VUBAqAYV2sYxPag57Xu1PbNBzrynSzY9+SThPiDFUfLBNBfBIS
ozs6jSnKqMgm0F9TZTo/lb1II2yVWSMATxUX0shj867YhoXeWndPC8iXH3hTF789T1iPdYN2DHTG
tvxVjGL+pVeeW8b9lI1eOMMswLhbrfZHOuUlyFRj0yHJsP++EpDHJsavc/0nMIb04+Qu4123tOuf
xXcXpsb1qj5P1N3cE+0iZVhgR/J1NrcaI8xa28SxbrB89ayx/6dPjeIjveQcw5uq7g8oXxoYYhST
/92p6BmH/F0MFvEu7v64PnOB21TPpy4xFDbk8Tzl+vvO16ohQd+5eLcpf3ajCkR5GsopcPMIQan8
M8LbvUdRwq6OSt1r+kQC/yxj5t7uei871/maAwlKMYdQnh4i4r38mX0mNihpYRzlQyZ8EAgg26Ej
HFSGa9fJ7u267asQVkuOTvsqRZxOI/eZU3kbrWApRz4Z8MAPDfMWppwyW7ZIa8vi59anm32gqMBL
yJb2+H3KOqP/uix+84XZ4qxBReoQ5WmdnJsWZyXNS9Ta54mP00THvWEF3+dp7X/auNjYB66iRv9n
nZbBOaYiNfBqyFfdPsihb9+ZGHL/Y6G+R5CfTfmgNGF+o58gt8ixRrWE1kT9gt81f+/Ud2vhxsO4
AHsJZb31/q0HV9qCGzZOmLWLukAWAtk3RM3drv0wb9ni0PpuahWlo54mpJLeN5dir4posaWf/BYh
28hfh1E8kkKaxJe66GHtBmXQxaumbT9bb9KdsFOYrMQCiAK1o+eu1u0iTb+M4eqvxmHR6kU/mZMj
bkZDek6sdeWU39emtz2JqRvsExbw7HFgT8sXUYOnjJQ0PRXlflDVfJGBgrsSQHOBIjmY5ZEv9O8w
ctvWGwf1UGr+LN0+yyznKQNwtU9NV8xGZLsz2onLajVaDic33dxfrRwH8fXttPd1KxSsyd4fQ+Zz
12c9K16nidNg55WRNF5jJ5VWqjmWegWY0VopgcJMT7O7EUno+1J5xnClALtQeiAThUAWWSYItfMi
Hra4XhPRjCSogz1Jy4pH2MBN2LvlNW2SC0sBXqTXi0I607DzWo8Luak1yV2McPUcZ+RRkZem480q
+79W/OGBEMSnqWMbdJfPK9jO0rMunwcnwUrUOaRoqx+zuck+vP3lLvQAdkE1GrcmXapXk91ONkpX
3ewkYIi1LYQI039ZuJM+Wuksji7SwT/fXvDSGwTYSvkGURxC9Vm1Otmia+Y6AJBJXnkwJmnez62H
klddXdMVvbArd0F3+BxYF+BiddZPXSaIgtgO2lw9nTEcNjSlD2m/pu2NTLXxhBqfj8+RnFtiY2/g
M/r2k75+tft4Yt+RdAbQbjh70qYaizbrOgChMrOPnl6kd2YNthZTXD3G32i90tOl/L1Qe+ItSjcQ
JRRAc2fHsCHN3ya8Y5EYzLXnHoHDFO8GfkXobsKqIyGUXkUS19opchtf38JqHMf7IbV0cFktLoCH
NYN2i4tJkFf87tJ/Nkc8kEL8WK0ytDMdr3OhE1MJFVaHFdGgB8+rJTb02XaJqrj2qiwjSTTlVzub
tOXr3A5mFfV263yb9MrmotKKCmDz1rsIN6ckbTqq4uXR1hoYNZuQPXnThKgMxUBfaIfKDGR6y19J
t7ve3m96MntDxHnPZKZCBHf236fgTtancfD84qBNTe+flqHOH0Wvr/Z3YViLhZGViU46CaWRRT0N
PxRhcgJcFtd9oDWhDkEtPbmZmCmOUmN8CoKx2/Wld7esd2VjYHYN1MJE4KNoF8YsQ6O5ka7LVMV2
YSGo6Ze6ZpxoIy9VPGmZgydvsBhtTBLUKoRa3KG7GTBClsfMNMv+3eQaCHnAZhjKzx46c1roo7Fa
3MFbHvqD19s9okMaaK0DOXXlfrYp4d9vCxj7qHSlpaJeldsWZRYK8qE7gm+g57Pqj0vjT/UDcG7n
4+YEZRflAazVw5RnRnMwgqzr4wXhd0DlDAfsm37qtudl2YwvKco+hOKm77N7zfDGNmS+Reyxmw4T
3KFoCnECxzc8qmCHbqFI0gTkSeay/w9RYjyYWOHA8aTZnYdrqm0+U8Cs1w5yEoWMPCSj6FUopxyj
tg/GD5rlN0QG4pg8anLgHURVt1qf2t6tsU1uAneWoaxUPbxr0mIQf8pNtF9dvcCWu3Ds1b8rDD+7
R0YU20hqqUpFIHfS20FU2LwGreajQKnX3XjfzObo3KyaS+ECVbv5grXv4ELjMB3OASCAr9Os3Nu+
X8zgNK5GCbm6ydZbWTuiC/vCSafT3JTGFkvXr7+pAtYfQoSTnYf1UlkfldMH/1DmlB+XYDDvMgaR
WqRyp6nvex+UbCi6VgtuYMirh9peoVvO1eaVN8jlj2k0VgwKjrIuSRwawMhdjOem6kOOqo7e0mD6
76ocTSNAyS1aYuOQtX3kTk33bNu45XEE6+CnnTX5zLnZevtAsqUzj8wy6CnoEhhbZEKEcVBN7KYn
pbd2da/XSDTAY1zTr3bTbA0q/H7xjRzRqyO3drZPAW3xP9M26NthyOrlU7UtvTpp0M0lsuTW/jfL
paiOlZjcp2yTO2ND9ySNoNZp3/VTPXQMPh3rFyXApj2sc6A+zi3KruEExVk/1H4xVNB4Vs87pb4q
aPc0WFMcO7Aav7Xa7VcYLgAFw8lqrAZTAWd9QvJuaKOcHqMZWtgYNEnQt+JUjE0QRBJF7i7S1yDT
I1L4pr1bCoBq6G7pBR9LSYjHW6CsLsw1Kz0UVZ8Goa65Q3WkorOo7nzgDxsMx6M154rphpEud8qc
ME9m8LA0MIJ7RtpeJ+dPUyF8RpyBOX4qReeZMbAC140Mh+qLyVOtwg3TqG/ZmNnmyRmyJU7LqUd+
jClOHsls1JNKWMt0aITAy75aQTclGJjjRmBMaflIze1+b0yViysh4vVUBVE/uPV0qoFyESVeNk5r
A5Y5wixWsu0tFEbBY2xOWXCtP7v/mZc9UJYBsEXQo/f+SgrG8FqKkqG0E5CxqgxnZxzfB23ZCs7z
3P5G8rN9v46tc6pyxEXDwC17d+eQmkgnWuU/b4fh11kA4FnETHUk/0hNz5/Z3zCY9uiBJFgcdfdB
Sn2qmaa6pe/nfaDFV6KjGKjQt5vq9PbKlxIAIHP/Ik4uTOZkPYymN45WMgrT/7CoxaDGWJujrfz2
3Wyk2pWZ2cUn3T2ggWmhInqeWtk56oZzP1jJnuqFXSC72B+s4lin3fc0aNxvlEgNvUoxHd9+0Nc5
HdLpJHQ70ByqzXkCrpUTpETLNRO3zjYksBwVL2bl09XS1ytLvU5xWIr2FQJo8DawK3y5g2ltVGXp
ZFYC3GGL62bMHiSX2XvEuctjZTHynFzPvZLJXTg2u9Uk2Sp9fSD7+4v/z7xhctexU1upJ9IehiRQ
6U9n1a/ZCF7YLdBQeH3YMOK+dD7H7ae8KxDY15PFkO4Q+WpufgSeJR/Qeg+Gw+gXzhVG64XPxm6B
usO/wRCdY1oLVyGAnllbslbcoLqTF8gotcVRaX5zBbHyeka2GzeD1AjIg2n2nn02rBfNqXOUkeAN
sh024Zo/dmmxE5w2+1agyBBR3wnEBxRVPvKpV26kC+8WmSgX9QtUH8BXnC1f5FXt1YxrkgkVuIOY
gPBWbpmSlm5lpGb7/zgQ4FL2NPxfwY1zfE5TMQlrpL4lkyn0qN+qDhnIYkocZ6qvgMBei+MBHmBz
7tAbXjDX+svNKRx3bh3l6kmTdpxsXfPG512+fgiNORc/gxqvHISxrLYPyzLQyoiSb5EwRYXxTsmh
guro6RM2yUvQ/nVxyU+jqkQ4cB+xn78Ge5Cjq8i9kCYtnCdhWesPY1rKKp793v7ZGzROrpzUC9cD
Nz24KITP/sfdeWxHjmRp+lXq1B7Z0KJPVy0gXJB06lDc4DAiGNBa4+nnAzN6kg5y3Cd7dpN1KpMR
JN1gBhPX7v0FDifrymCVwvLTjQRSBmiLfS82ozvNCoaMWtldLOaHTgdt9XX3+48f438GL8Xtnwdb
8+//4s8/inKqoyBsV3/89yH6QfKl+NX+1/Jr//vHjn/p3zf9S9129cs/Ds9l849Nl/98bqMiX//O
0UfQ0u8ncZ/b56M/eHkbtdNd91JP9y9Nl7avzfHMy0/+337zHy+vn/I4lS//+uePosvb5dMCHuuf
v7+1//mvfy5C6//x9uN/f+/6OePXvB/d88+iXv/Cy3PT/uuf1Bf/IDVjgaCCcoKmw6JtPby8fsuS
/wBOsohLINaFoOXyrbyo2/Bf/5T+wFmFFAupCZXCtsWbZpNdviNof4gSPoGoo1H3ZlL993Mdvaq/
Xt0/8i67LQgfGj71+MxcXBCAWqBuSJSCGc47KqUwopqVyLPgsUY3nZE8Ki3aQtmvnLtROgIVzbdd
+pznn1PjyjR6T9IJYjDrwhSFS6a8DeXaE8dp/2b4fj/m28c63q+WpyLLtNTRSV8QPrzaPr85cNJi
9E0qt5bXiSagIVQQnaFpLa8Jlc4DVHc2cng3DMB6wA+hY4lAG69iFRiSzY17jiUdIZ60EexKz7Xs
Gr07LBJ6RAsVO1DUusbLjN3F0cUuRgw6yYUHTl1y7JLf9Lk9wnu9JiEZ1XYWwP2xxU5riP7ERriT
qrD9UmFSVnuQhkySziDbqWCOqvy1HGeuo0Efzl/CuNWeEJUdg61vTVPp9qY5xA95A1DHy2RtJhNR
gIneLD3RvSbtGgm5F9IdW30Q69QurToyL6js8TbTOAfMrM1ye+83+H+g05DOm3KU8CSLZjPYCjrQ
NDcVOvzGUgrFmzALRN0uSoWLeZHmwzaqtEqzxy6PvwRapihcmkOJbFGcx4jLcmv8VoFYpuTdVOGm
JMintCTJaUN2AlCxGyXqQrjXRgvnGstvW8cKAsyWQMsicxD3Rd5S8wNc4qjAVn+YfjWGNhFqZV0k
4IFKJ8qIE2xYLwX1g2CYbhrF7EoPtQOGV13o+PYspIVuw3zKWi+gdufbCPhrodMJgqbbophqn7q5
qidnLExKcFyhuBSlg9TuAvwLriVBxrnx9Ow9PuyZvQRKBEkK4SBRNxmw4xNJ6OIoHbNJ8ciMNHsK
oda1nlZiaReCpAqQRkaqF0JsoQiXdnLpgFZBce30M7yf0Jy9iz3sskMQt600pBs5KM1U0iWvqA0q
YGnUokK5JMewpTVy0hqlMGSa7Y9ihYiDYVrN5vQDrM5l5PlIoAB1emX6s4lpqycAVCDU3ZyIHiZ+
yiPV4uYWLfDBnbqsvuooJ5OuDvINxSPLmf3IvMLaaQAXkuVcSMLADfvWOHM6HsexPNIiqIbr6UIe
WwLNZdt5s60Ygl5GkwhrJpT89GCpdXdDcrj+dLrnH7ZClAz5FPVrxKyOWwnGQI7jLpJcWRnzyynK
Uy/1Z8U73coKurd0BvA10wwi2KKFZKzSq1VM8q3w6UxZJOat1ZvafVe36oukBi6+Reo12IGvbM2q
W6pBA1ElOcfNXM2xd0+w6qgpFSKaF4nkDqP0y1Dz0i0gFTgxtj2IKBjOEPiTjVhIfibkW62vd+0u
cf2b1wigtlCjKJPcHknji7nUhYu4Up+qsCJvRv603JRxMP0EDIRKaSYW0+3poV+dTq/tY9mD/BRa
DggEr0ZeyIW4DCD/uEzqYOOrme8gsNlRpW7SC4OL4PfT7a1gxH++auJprrUQqxBUX4fvhZD58qyL
rmxhfiWYGFI1Yil/ClMd9UhjjPdamlh3WHX017OkjS+TnhkPWhoQ555+lPdzG2YsRS5SR3BIQAkc
D30hsjlPVBpI6Ey+zRqT78HaJmfi5uMo9rW/rFAZCxqGVwIKftzKYBaSUpS95MaqGD9Cfpv3eTIa
jxqCYja1DOwKgjD1z1wH3/cNbiNROjqfxNCEXsetdgAtKF8znbUSQbWYJJg394iMnR7B40vn0rfF
ZX0p/iArSly4LKo3k7coAm3idYquajThZszGalv07IiZFKffTjf1fp6S6CJXsBxEOFqsi3VYOxFj
ATJ257AfDrk1FJ+FMQcIWQqqV5TBOfWwj7oGAhRC1XICQss57powcnvOe1N0i6iotlovpESVQ+yi
bBeeuU+vGJGQX3Q2PZnbNLomBNbq6nQJDZ3qRhLo1MibfvYCKdc7dBi04rsy+VXvFLqc1LaEeQEg
KbLHO1lsitydgqqcrjKjJI/bBtV4i0m933lJ2QIwGyNjktE8EDiTT7+J1cjwtETWiDwtvoLkbpRV
RNAFrQoKK5a9KEVgQmmnwk3aeNyICrWp003JS8//Sj4uI0NbpgGJgpo0m9RqgklzN3d5Mslep3fi
00DJBCC1rzWf6ryzagc/M1O20YAh6RuNowJRKjDVC8mIh8kBYytiWoDW1wh5Zbaes5jDZaMmPvLV
2aioj/AHxNzWC3iBLg4QPsUPPBOl/elOfDBehE1/OsdC9l3XfpOE0hGZGMWTJsW8klPFvJjlero0
+qS7P93Uaq9ZhovdjNgegguQ03VqJK/CJql1jme1DaUtQvvznTb7DYFlXOMYkYv+o1bF3ZkdTl7e
+OotGQppAQ5uMuIEYsdrpehMkamYKV6WR819XFV+7iRkwzdS7ZMhamupDx1Sq+O+TUZpIGlBEcOJ
/RDeWaI0ub5r51pCyABIw0Wkx3Ox7boo2mo1dQSnb6woRxRHTrXLMcAfY4u2YxW7SEBiFZRIsXkO
S7/aPF+HkdIrZAX2T1SdVjM8N9sBuzNuKXIdtAerKy3XGOfQPf2ylh1kPWpIaPKikKthQ1uter/M
hgypZ8lDaSW90vtO/1mgChx4UYslhOJn1SbRBpy7OtV67DiYzhwRH7QPtFlD3VWFfQcG+/itZRy6
DXqp7J5BflXXymUpqxehUV0DX3zJOrWzc9P4rCrlj9P9Xu3ky+hacE5Y1FjqmIA9jtutcrS58kHU
vAwgLu6TdbPHxGSgDFZFCHcZxt8eZ5PNCj4bzD4TRZjV7ASrr1uoiMq4p3T1lVUo6QM04HyfcI0G
3haFimcJsrBVgbg6+NMgr3i6w+uQhx5z9WdtAKkh1ELx4LjHfhRR8DUqehwO/oNhZGbtTGD+cL22
WqxtCpJnZCF0pD7sAs+X2BHxbbRsXenzT4A5YQGdfqL3E5zcDeSGJQvA4LxjjIVE4UKtqB7f1Ryz
yn+ByUrPNPLarb8m+CK/QwOkDCkjiIuQ1qrbhia0DdVh0ROT2J9tLPi0H2UTSqML/99QNxmb+22U
Sxp3x9YwZQxwKEFtB3x/4b6X6TdANUVqG904L5p/mE3YhWg0lyGqmc1GiaNcJoVTABhXcfD90iTJ
nO2CxIxRjS0SMbQjwLvC5vTQrfkKS6+wkOM1IpPDZqeuppMVYASUR6rsgZPaNIFMIBvrgy11mf5j
RgOQwiO6f0/RNBpI8fVVt20LeFW2hByw14CMdtQo1+5UUIKfTj/a8UHDeIMSQfgK1ggPh8LSakOx
BF72lNSGC6GicgHEKKMtk8K5MwNJ+/w32yItS6UBkc4l6UbO+nhKd91QNZCZDdfgZEajMMhc3Nkr
ZzTE8czyedet5bIAo5xLOHA0PvS4KStUwYVPnemSTwKkPg6GR+am32pGatye7tXqns8QLm2RwUQU
FEqysWRK3wa0KfBbcS5pC2Tx9cxTsSF1vdNlkvED7m3twTcBHtjP3UbsLPkiBAhuW1UCNq6Ly02V
BOqZ++H73hO+c6hzsi63JnMVAcktTolSgyhQLKjTBryhRkJvgLVXT+fY2OeaWoW8BiKVcp7SVBQW
tTeR1XCMJmWjbJFhOj3Qx4HKMs4kKNGxgRzH0SOuvSnBUmaW35m6O8NguO3FevpcGAH6d+Nk3vVN
ILlJmitnDrz3S3dpdRG/o3yM8M76xKunfAqtHrz2hDjwQyLGgm2Nary35kbeIdBqOuDVG1sJp8LT
AfpfsacXt6Ee4agr1bKGVIzW38/gvv7+S+Zas2iikSZW4fAdT7s572P0l1qDWspobcqqnd2x7oYN
LBfROz3yH7xkUvEMvIIYLSW01aY8FEGhDrj14m5ViDt0KfWDbMnJNcqp6afTTR2fMq8vmaaWfP9y
zrBrrnollRXMnqWpBoCKhqOdLQbTue3hOHHzuxWSR0vAi2LjuhU0JupSVXzDDUcjjTdyLGnfAMSD
GaF2Pdu9bHU3oIPnSxMK3ZlpvDrZ/2wcchiDuYheICB13MUGGRU1DDrDnXWluyCT3m2CpFJv9Mwv
KWiH1jYAPPmZtEa6yYwq3RP5R88BYgvVmV3yOJr7/SSoYUDZM8imrTm2Yh74pTXmBnnqKT00s5/8
aPRqvM5Gs9kpObV7o5DLT8Ygdo9l051TPfxgQSO7yppiz3898o8HIgGdj86YANdFE8ZL9HmVzyNY
9U3ctY9E/t1GS7pzypkfdhnJex01tdei6XGbOjQEwRwzw0VkdkYiA/PUgsvvvgxN4TvH63Q540D1
eWimcRtn+jnZxY9WEqkjKKlct5bpd9x8l0hJbI2V4foQdjahqXTg9RL/0AJI+Xl6JUnLGXcUSiFa
+bat1dYslsWAkd+MkZaW1TZXcA2rg0bZ4m9QXUISqndGYgCMT+f+TgPqfi0CZ/6WK4V+6JIp/B/s
IeRFWNvUBhZX++OeT+oUdBFAXxeaCtjwin0UfPMvgqHx/7Gl9cYoBBhvCrSUgwZ3fBJti4ylRLkG
7dczY7x81vsx/qtXqzgjFSW/T9PGcKVSH25mPQs8uCryDUQg0OdV7Jl1YTlpZfip00RKf6iHYQPN
6ty98MN5tdwYyE2S15eX779JqnWLjTXHgQFfa6rdWYMnJQ+tshmlyDzT54+aUgBjEMgtKeA13CAE
wYTUF9uXEo7qNq1bDbLvqLgp6Z3d6eE9vvX9uT8xX2BWQ8KDVLCawVZamoI+EpwOOeVFFbvMJ0us
u0usJjKkkYz2DI9g2XnXb5Ozhw0Rcx3wRauZE8B2jSOYly6kaQPnJlCrhSyPZw6Aj7YgcEtsAuTu
FoOF43cFQSKTK4lW5llqLqphFq5RNyDuF6He1DDxHauNlEOmKvm1MqCuenpQP9p13za/mrIjCnpG
3S+bvkbePm1CE4qWnm3DAc/ChHgZGKMcb083+uHIopRJnR96uLJOaGt9IBYCy4A3qcZuquYpmKP8
HN7uw6mJzRxhL4E/Gd/jkRWiNCtVg67FqWhiIgWzRww62zB87cwgfri5sqZIEJAtJ+G4aiqpiU8S
7jnwgEBAO0JFHkSP2hHzng4Z7QgaCoCnzayiOteVXyvNmJ8ppouTV5LPPTOjPlwni6YCnabX69Vf
qjUOKKDf3bjnjikitXlQ8VY7NLFSud3Qdvv/wdt8097qxiOGUz5S7KfzoVU6FewGW6a9M2P80Zwh
NYjMFI6uyCos33+zp/lZL8CBYW9tUiG7h0EauMIQiv+DvrxtZbVztvmQSdFcsuZBh28xPzA2TTlH
3ukR+2jNE6hDHCJ7xjV41ZdmJHuZC6x5FBLri8kIIsFOsFH71k+Uz+xCiSqyd9yZbaOuJGmbgjs+
8wgfLI5FXAjNTN4cW/cq9EitGBORLDfdcQi6yw6roY0PqQwSvqR+Pt3bD7YYixiL9Bm1Hqp1q7Ne
F/1aHFEMdIE059/6tB5RJdecpinKp5ojbJMWvrg53eYHs4U2tQVrxjWNO//xbIEvK+ANRptBhGJS
GMfSBZIn54pXH7YiMx2pkKE/sT6R8FGBuF+npts1ee6acvFLqZT0zMT/cPjQS+IfABScscddSRul
Q0CCNxUpmeFzLpiJp7DjfZvh+t+QX07uhlhSzrT6YddIvUE0I73HRe+4VSJxRQ97Wq3ITRzIt6qX
SXi2kivzKasjFm0QAKfkZhbBotXW0cgzavywS9xkGJNt0hn1lxb28cYMs/kK67f2MZ6VeVvlYu0I
4iBvk1Ke9g3kMM0WqupcSurDoYb+BvoMGSCym8ed7pG2LNDN5LqJ89pkD3B7gP/L1TYtp5atOxsO
k6oA8Dk9WT/YDhiFv5pdRunN1hZGoSEQNGEmNg2NJ5e9/zILpYFzs4UPYoCAiG0otYWRojY5LaoT
Z9r/IGeF7y3pIWwRKJCyUo8fIGrGoE2LwHTrfEw+c8ABu5VqrVXs1GyMZ7PXhp9zo8+THbSi9FjI
ufospJRR7Ra2SOHhrAnPooP9fe5q/io69G6GkNkgxSMRIq0Ps1ZvQ2WEVoe0gwJwBGBrAvUiFa65
LZvXGK1KX8dO3cZNmzqx7MNP0brJrjt9epwHVX1pav+bYaQ++rjQNCsriDdiZMY3WPfAP0KJpz+T
Ivpo4VCioy7B1rVAFI7HcoI3aWborLmgXRRHx/1uL/r+OQj6RzMVISOLmi/VTYTjj1upwryi4hnz
xtIexYloEEbbMvxhIynBuLXySQ6coBD+rhcD4TBqVDBegVCRSCQyPm43zzFFNixuEaaExiyWpoFX
G2G6iTEZd0+vivdZGZqCQwwTFY848pfHTQ1xKXQWgDdXHPLsthk6+IDx0I8jcCVTyTx0URCLayG/
PxlJj0DC6eZf5fWOZx5TTlaY7XQUnMmyat+syqHspiwzA99NOr9THTRikpdE6IihQBuq13EqW4Ed
daJ+pcX5OHt6OzwIqAOGNszmMrLVPJzRCRO7zHTVeo6xgRUyY7QbHVCx42ttHGzFqlefI8hUvTPO
vt9uOCHlaxPB4tiWDYyzvMAQ63tCc/luSUw+N5AoZwe9maLYZHlToyaQVeNNjhBIcSZCeD+RF2Fx
hXoXmSn8B1fHNlqdppzHXLcSPPG8pjDi+5os59/OW9LKgstgrXBoreOQstMiLbAScm91R1Unx/tF
m/uXRM7GMxiJj+YTrHn2N6qHTODVfDKBGVpNR0tgVsu9ESvyJ7GblY1S1tpsC2NX/UJVzRsETTlX
E/hwKE1SatANmNGvWeU3UwnzSGh1GlljLnUSEoNj2Xicq9FWESfjq49059bQy9IOTKPZ9BFHYU2t
+pJNTfLiDNCYkPh3KJsOd6fn+Af3luV6yy1hQW7xxSoKbBuNMy7tSUBNsPMoOzXygw4c9JE6kHo9
amWQgY2Q0h9ToODaVLcm4MnZZBE6iE0HlZPp3XTG/eT91sYzIaTFVZiEFbXl43UX+Xpo6RaO78zK
4jqNW9/uun7+KalF4Y7VjOxelQXnEDTv42EmIeBUipoUwAh8jlut5ZBFiL6oG83Z4ASylm+4R/3E
6tY8cz1bYXXIY0B9RByVqUBQDCp01UEELRoLEq7gVqKZXpjgle1SGYN7tpvuKjKjGFGScJCf0rbJ
Nh3sqW2BSxi54Cq+l+es/GFWavgTdqp4qwuoA9opgl1nNt93IcnyjEwM4FCsFWmdn/ODQAhLAHRu
paXjbafVwg+UOPznJtHn1m7yKBS36EWNvzoe7eskz8329NR8t2RWD7AKxeohN0NNzQW361Lg5qH1
ae7Dc1nId1vC0ggXMAJrCc1raZmKb9ZljPJGjE2f4KITd0Up7yJJldwZBeWq1vrLVtXutaY+Ex8s
b/foWFnaBAXLnYu8El8dtzlU6CzpQiS4sFLD3B4CjLbw6ai5zVZbuPnC19MDuQLG/p5uJmYscPIk
bs+rfRxjQlA+WGO7htgtGk2B5saNNab2FKv1r7HPqu95YWmA+5Bvm1AuPOgwuU8/xLvVtXSagGHB
a6Dbvb7DjMyzECqz4EagZO2QDY8KqKgh8NqVD6eb+nDivGlqFX9R4wwAzDBx8nxU0WQP7+dMSnen
G/noJS7W7vz/FeC3amSCvT4GGPq5spyGvpfP5WzaZmWKWz9rxC/IMym/Trf4blfkNssoIXG8wCWh
MxxPG6GZJlBYlUU2yW8uJTOdDkZjpHdYoiJhg0VLuslnLTuzDZxrdbVVJX4b9OlUW25vWcgzATD6
JVcBkoKN1btwXMsrYWr8M8fl+zfI6bJ4QUIQwkZojQ6sknnWxxAvWTWOjEtVzPUrSQrS/ekBfb/2
aQVsymJ2RXBprLo2sL2Ys9z7bmpJk22FPbj7UKViGw0zTqXWlAXbDCr2YBdxGp2ZP+9vXNrSug70
ntw59Ovl6d7sPEji4IBdaFi2W3J83SzXLKfP2+pRV5or1CQk2PhVuZ9QiX8wqsR65oombnRq+WiX
QyFWK7RK/v6AEOpBsoINsIAljx8JXYOozuvKd+PaMkH6FcluNBT9s1/jh+CoKAgeqlzHPzaX57NC
zMr7mQbvyiJjg3WFjpzOakUNUjZB0egDL1Ra8zJYUG1OMBZz56EyLIrc/ol+CqPUbuJAGlFv1NoR
qkiEITgLT9ZjgiehRtJJq3Rti2BCpECUEdMvnPbhFwqwt4WvwOsuKf6oXtiEEN7DRMExx/KLirJy
IUyR50eF+jXsOivcLhKqADOKpr7FbEFR7VyQhjtV68WbTqkxxY7FrIasT/qisK1GwAmhasxetymb
gZfuMgVQUonYtrjYXyo/YVuMv3LQ91fWnDSWlxh1/GVsNVjwOVVe8uzjrD4o5VR8roHA0J9yqj5r
kDEPeG2iqoGuQ27ZlaLx7xwO8OQgy7YIYwN4/zG3IzIbGsairQ0PSI8guhTqeAGVs0c2w68njKuL
oRxJhkftzsrSSnMMVLS4A+tlh8SHJk/A2MW6+o69QBC4ejWLe6AqHTJeeRd7balEiquXZhHeCSho
OJkZJ+ZjomBy0iNyVtW5Qy7JREtGM4WdWAUWGIy8q9HJKOesNuRPErUiLkYG/csq1wQugD8MYuP+
Jzy8KXFEplg8SmFgmtK2M9o0ozCI+YOdI+wewolCKMiTwsRSHBHjbd3V9E6qkQwJqZQIlWg8t2OY
PCFBocaIollV6igpktuQaEyNqLtLUBDBdZJ7/4w0W+NIqMa+9Joi3pUUpF/CITFaW0QaEkVOIQga
14TBMH9uzCwYNjqSM8mu0dUK99JZbEt7HCkMuaUk6KjddCZhWzU1/QP2N6RypJRklls2GrdWOanQ
qEgVpNBw6u2a+YLY2WypRKhpiHzoJCM0GSqBgCSmBBqonUfh11QxB0atl0ivqEF9S6alJmmaGH5j
D4QOwiZO8YLf5kqvX5vaPKtO2om17ISFltp1SQ2nSHWEU8tQmH5SDjBid1KM4L5S2HtsCV3+2x44
I9qbCNJV3AAUcFfo5CZf8bknPOgxObohvDTvWiRoHgAllChnVMhtup2cS7dTWcWAo+WxRmlE0YYe
4SB0xzeDgS6ILQEmwDddLBq8Wn1EWTxLG8VvMovtE5mefvA0mYyOMwd6vY9qdCjsWCvU2iU+Gr9T
cO6fFavhg6gGwjHEt2pWoOL18wNqleIDhU/5SSMvGC4CosVk461QP+Zpo40eSdReBRXs67ord9Gi
dFtOaL2QLoleWsWfLuJ+0U9r0ii89VV5bC8U/PEuFt+RfNtw6uNnq4Vj7YqhMIAbHKqYMnkACLyi
ShhcISI53gu1YDzNfaLdaphQhTs9DiEwpn6iuZlvyomNGUFwUIV4Hm2EU40fQwe5nvk39OJeQM5z
tsEGxplrTpCV0IMO9Zm8eKgWSL0oTedOuaK+VIj1pLe9oASRE4SxMOwQdpQQVuROp9iLN0y0D+sk
/1ah5PpN8gPlcyOEE9KmVQ3P24DR/2TGAQI1k+yXpC5K5Fswsh98cncYCLcOmcaAM67ViMlqTN2H
WBke9TGRdw2qUdA4LWW2y/miQ7vw+4gqYG5LKHl+DTUxmlDYTWo2YE2rvyNWUz4GQOUlpzX19qvU
prq0Q6F+MpaNoUPFsEvCT2Kg65/kuEuajWrGY+OicpiN38iaKagEj2gae1MUyndj5PfjlkXh89SR
InY/kEpMZSebQFTbWRw1xmUU4Mq491VcQTZpTWbKlpqRYjc6Om1hy5NvCE4pAFBCxypNog0EqSJ1
xHYUL1CFQGRSJ30ukHdOxKdSTeZuN6lFJtn9IupGiotbjh3rvTi5RqNOqTt2+LzbeiTDosjxR9Bt
s2yNp35sgs+qhs60ja2Lj45A30Exm0ZRaNwk1hFxKNCpQWkKVQRtl2TGgNKBHpsOdJCk20mprnyW
hb7zESzU62zfGD2KPyJwJ0RpFHGRphmQIN50op8hCaWPwjYMG/GXjNKm6KmjmHRXqZYNNeZSRNRO
16iD/ylphSa/VWTqIFu0D1ucfADQ8l04pqgWI+E7uYjSDl87rBpye9KixHIkpWqkHcLBvCrUabrs
Z5vEw+CW5hjldqY35aXUoQscYObxSays+atKBKp47KAqKlCKH33RlRpGbzxAjbhOWqhLXqLmefwd
/dkUFQIZOjWIBIvCqNil5GoVdKrsZC47yzEMhMp6obEy8jCkJtw0iWssSOUwegLvN17PGQaW90zt
oXDDoJR2sRQJP2pV7bq90vnFs0itJHFgGs+53ep+wN5htdasXETYDhY2yksIinJXGdTNAMBH8wBh
giaAa9AirTXp05coa6XPiAIhyRtECfuEQBzyjHYmAplRUqNiiZgWEmFqqz4GiOp+rdCU5cqujNwH
hKZXeiR9MBpz4joJvyi5gcRYkTT5pwwYkexWRS/9Eqq+fRmUefoGX3pg4VVqfGn4NfZgJSJIvW3N
CMKhTSSWl0i1jfkm94sp2KZGlO41rdEne8xz9ZZESvokG6F8XWuINrvTVBTtJ6WOo0ObI/PuIq9R
XTf8lG9TnC11T5TD5HuoSBgWRHGeac409YRzuhn3L7KECI6LOKN+FZdi+dQVdSfgXCglrddPLQRk
sxi1yxYrknYfRXPVbtUyEUxHwiAXnEkHXtlR+5D905pnrd5AvFHv1DAfH/zcnOotBlkmUmezOpiu
PpAGJYzrMAqCdEQgAgUEb8q6A9ZucwvKQ3eCMuY7utBPz0mLRj2hTSY0Ts+4HASjABJtFHDGoZqn
Re9U8Xjhy/WAt1r2omCnGjllpQqHVEFv3J0p22iDDrs5Ygpx2pBD6rdhWySXmGpX5ka0hvgb1iNd
6/SdkEZuXpfd7KStKnzFiJdFqLVh81xPE2bqPTd4zdMFBEXzYlG+qwURdqUEfO4ZQbgtdgNobvU8
r51lsryNi1psvmcjfklelKVy5Khm5lO3GK2FkcoFQXOyqvFRI52N+UKJh0J0Y/S8LlGECq/BjuEz
IbaGep+izU6aEXUrXVPpdZbEhMdqhYquO8hlCiOwxxfXRkuvaMHACgOqrSPGMZ6CXi+u4abob2MB
4ICHZxAS1Oz8aNQtpiVelRVVi7pvVP1Us7H7ZYoVEVEe6NnBgmqDI/miGWqnU6yL0KJMIXO4NtWK
U8tz7RMQQcBe/MGKwpYqLejQdRaS0iHyZTuzKN7Db9e0vPGmmKFZLlnyuaz1a1ngOL8CEYYCDP9e
kohrdGpWg+bEjlNw4aSEUIS4x+Bzi7HZ5UQWyfZ1pFgVVLWolCjJjWm0w602m5U7ppH/EOmFsBca
Y95ZXWDcZxjQk5hGqTGve83W+l7ZFghvbJGpkZ0hRyYRzQHA6/Ng4lvezMjDVZ9OX8s+yN/AL4XU
DL9GRJxiTZ+v5n4e/Fb03QW3v5X0Tt2r0iw5ZalqB91CkAxtsviaADtUnRHq1nXT6eEZLNT7BA7k
eS703M+WwV0nio3RGup+TC1XlVPMC8W4u2evIRzPp+rvX8yPmlrdQwXE/6oiJtPR5EK4Q0W2eRCC
VCK9kdXbdIIoMZfVI5rS8ZfTI/1B3gGCD1wqJIEsyEXLFfXNnVzP1Hqg7m1xr6hlL02SyhOQ2jhz
zf5wJIEzc8MG/Yj40HErs5gnOFXGlgtDLPuSKYaJVRkMti1Zt7MsnY8b4zoNTBvV0XWZ0OJEV+uI
/I0aj4VbFxRJiTzvrYl70+nBe39/Z4KQzPjvllaDV2Q16usGb42C2LgLDb/YmdM4Az40QO4G5YAC
YhI+nm70fRqOpNiCHoBDymJ/LW+8eWNaN/hhibUcoj61hECokbiReB2WV5Lvn6NgLdNuta9w6FBs
JW2vQyJedbBGu7VtjAx3o0pWXwar0QZX0Vr1oRhb0U37KH8McyX9KneztB0LTf58uq8fzE5Sp3gz
quSrKYiu5s2g+4TdMnljRR6Mz1UKrdFAVPzPctxvyaDbPzu0Uita/fH/e/GiJbf0fxYvsuvnOUrf
ahctP/9bu0g2/wAzpQNBozxFInZBLv7WLjKUPyxWMzbMyEAvFUa+9Vu7SPsDlbgls0VWk4MJa7y/
xIsU5Q9qTq80Fmqg0HOMv6NfdLzecUDgbrvIULMYEGKAE3q8uQBNweQlqCesBtpUcWY0bWuIsLla
XAQztY7Nm5H5PVne6hK9bw5qBtsYhbqF1LbW+S6pKnRJq3LbT5pJ+zmmCZVpklORgMa+atXzj9Pt
Ha+BpXukv1GNoocQJcDkHndPjPKknlIUWipBzO9bspOPcBvPolPFVTsU5yiJIClFgY6i4LtUKH8l
CVIo3V3ubzY3O3ezse3N5WGzcd3NweHPB5d/u65j7/jKPVxu9vaenzkc+OOF6/K9nXvB97wLvuSn
N/v9jbvjuwd+ec+POs6eT9tsbT6Sj19+ZFPw+/vHzc1+z6fZfJztLd/e7DfOEz/CI9jO8jd8zR88
23Z2zo52+Vk+8XZ7w8dfui4f9cTf7D3b8/jEr+7B3u8f7b3n8Due5zme4zjLj3n8Pp+3fJhzxRcH
esIT3S/Nb3fOxWfvYvlR72Jve8614/I1vd5tCzrv8HQbb3flOJv9YbM8KM+25TfvnWc+dcePXlw/
7HYPyzAxUMtvu4dDZi/NPjj89emJIZ95Y9Zqd8wgp6ONId0dNjdP+80jnfKcZ2d34TycaWlVvaV8
dTw31kusbZCOhhp/t3Hvvn6/Cewb2/t27Yj2mXZe9/O/zpv37awS4k3VlKGxtMMr+rq/v+c9O4w3
r2R3eXAvHedM2X1FRHrfoHK8uHwJFsZMgwf36ZHZwns6/Y7+rNyf6tLyEt8c141cGj6q1HeHu8vN
5TKhN4fX//Hfm6cNa+OGuXp4OmyeDjeVzcI5PD3xLu2rLRNrf7/db7dbb7u9sq+ZYRfO5Y7p/O3q
6nU6XtnO9Y73zcpjWbjO3aVjsz69izvn8pLZd7E7V8I5Dj7ej9eyOb7pjUpm3Y8ZL/er+8i6YcTO
zepXxtWpAVse4U0TMzs5lhnsQ5unm8BjWbLcb5YFz7Dd88/e3vLVsqoDmx5e/C/Ozqs3bmzZwr+I
AHN4JdlRyQqWZb8Qjsw589ffjzoHuGp2owmdATz2jCRX71S7dtWqtf7tC6e3/7n7/f5fbz8+r20R
bXaw1z7QwgGnNARH6bwpHw4vD1vn3/4Q2tvddp70uy0+zn2+m90kC8NCbGx8oDP/p/uwfXFfDk93
7luOb9vZbze/tvwFDOVhZ+9evnRMn4sXeTrs2HebI/u8sDf3PyP7+MxSu65su49siB+W/XVzjyfZ
uvbe3Tzih453s4O5vlXf+8qvjXNZnsuFQaFJ6BGHfWe/4XM7m8/9fbe1n/7jmRkeTvTGcW+2fIgN
fvf6J6Bpc2Wq569/XHuD9v5+nuo33Psds3A3+7W7Z/fBdW4OB7z1/genBWeNx+eW2G02Je51u2XO
uXr28y3gvrE42x/u4eEBh82+eXjybfsbu2jLmnBLbI6cwje89tF+92WH3eHh8PT34Nt/n+a/9NfL
w4/QfpnsX759wNnhhx6e+M+/f9mN+Py9c/+Mj+X3x/3z5nn/z8Hl75/tF26RwbZ9e8dR/XZ7f//t
/rjffD0c93+eH7kpnEeuA2ezeXbtn7dcRPvHG/eZI2pvjsdbfPZxz9S7zOr7NDPyf0w3lysWuVv2
d9zLdzfOfnPPUX//xtdn/vfsFJ7dm8e3Nzai82dlRa6fdwDCpwsCEjAXDK4YbskbfrF3d3cuVx5H
33bc438uOWdlH0AucXUfUNc4NRt3BswOmMUm03H3wPnnqM1W59u7tDlF9q/5rsddci4ONt+Id9g+
zbcyC83C86cnfuBg3xMQbPnT/LOHw+6e3/fPTJp7dB7fAxumdTvfmpyoe07u4T1c2B+PHMh5q2/n
Pfiwnd1pYO/ZQkw/3nrr4o9v5mV09293RDru/sHlZ64vwHw7/P+ZhKubeNaEtknXAfCRCJm//uFA
dNMEmfss3GeSKndRWEFcQFGbzXUrp6v8XysA3kFDI2FzRrWZI+TigS6tbS+LrI3XIt0GKDr5gdZR
SWOsJdxft3c+Kg29VRIqtJOT4VnS1iWwjmvWYFIwrix1G5r9sA2S7pPyucwdlD7vzdpAhaH3Wfgz
qQVVVtGHYUdqIH8TwzI9NPBsrmzW87nDCnhkGvJBwIIZPV0hyjOIzhtWZQ+xGhgoTcCmSmZd01rY
x0eqI1LZr6UATp8g83ppMzUIDfn00hCuL8IkK1OgDaLL0c7LTD6KQqm5XR1Hd+JMDXB9qS6Y4uXH
O2fmdSAMXEyijChVnra05qHhUdDIn8EeGlJtqaM0WUm3XZhJesno3zSYRuBii5nUCj0zESar7C6s
o0MbRjqFtKi5VXPFeqAkbqwEMxd24Ud7yxadscmnHA0J8vGZNBX7VPIQ6kCkZA33cmkKIe0D5yEz
PPqeT3eIl5qQieRaaVtJiY5WFE3R6DZhO/1Q/K5cGdSlSQTXA4SRdzmETvPXPzgMq6x0s47G0vZH
OXZb6tn3ga57DipLo6sPprrioC4Ojt55OPNI14NiObXX0axuNqFMiStp0VWzZn4zRLtsP0RY8vNb
UYc6nWZDYFJkvk5NSYKmxcIglvZYiYnbyIl+X0eTbFupX71cN3Ua8r0fMHhg/t/U4oB1k1FUtcSo
KDk8BIHh78wYYApUheptr8bla2W2b9dNXtqNH02eTWQoDH0sMZGBCDNP5WnbsG7W+gsuWnmXSuah
T1fxYi/WVhFUkxBUdE9Y7Zc4LyJHMDNlBd9+0QqbncOsAx9eoi89zVPLwDJKO68pcSlDjhBQl+u7
6zN2aatDtASEGRZOuLEWsUll0SsQlnppI2Gv6PDWJfExgUHiXwpb0ouFv2pWDtelzU4+GXdI1hc4
68JiJARJFepKaUPlp++Srv0OK+EvuZSNzfWhXZpA6IGoR7HX6fqeP8iHU6xrYuD3Gi4j8AQ4VNOa
bopEWiPyXLx+521OUodGSLTsZxD4kqwxEMy5QAwYq1RAE9WZAjJpCqJNgf7RLutzmmzAlXleHO/I
+vZwYqPjZE+iuib8fj5enaNDQxzY9/dw5HS8VpjysOy4ZRDUTfTHrFaD+gDPd1qvrOAZBnEeMixd
3JnKLL+2DD0ALZgwaeWVTQNafEQDqNuWZaG85F1154MsP1Z1kW+qGMiDgn1nGOPAYQ0aqbHQUBPK
lVDo3NNAXINyAXlQOkIgAzwdeT8SHwmIPoKaM3sFZDQaJfR69b7i9qIvF3YItOupbpt0rcvsfM6x
DAAcTDa9f2fh0SgrQ9pK3BSA/kwHZsrYmRS4i67v5Ivj+2BlcamPXWFNfonT5lnXua0PmKUvPWGX
wt86WpSe+zVCiovjYoGZOBR+4F8+nVETIWOFiLK0lRG+OAGmIqdTm2zlMjp3PsweinaiSRcJWfHF
PZvlshdT2kX+2Lf0pxxxzI0S19EOdEf0q0ENdvv5eZz7soiaYcw58whenJPA17iR9KhX4YQvTeFG
RpnQMc20vkPUBl3xwScKXBnnpfX7aHcxTr31ByqTamknaVbdUKHP4Ylpp7sICdKb1kRdCpY6acX9
XZrcOdqkYEgAT5vx6RIOhYmgV4V6RxxK2htUYkO7kWGg2vWZJRZ2AJ7l2/Xpnf/G03cWndOI5Sk8
gWayjYVnbxUfAZEaNBhkRxkw0LJylTTqEModPh92EkoTwcCDRxVP0xYnIlYnCHF1tbDHHiFgEQDW
FkTs54Npix4PAhICQTqZl/02GWo9uSqPAPmMot8p9GLZiJA+iiVNxEn12c5zXMiJtXkXfbivel/W
60HHW4mQ20pIbINUdYClTOPKzpjjk8U60byC7BG7A1zFktiWcxwmQTAVM5NNfYSwCMBnlorHPNXM
DXoD3cvQC0Jsp6SR+s8fBUAAVKuIr3mQL4uhRjygo9Vw+09CYz2DJZYfUNhFhFDWykMOfyz4ssDT
VkZ8YWfSq8JDmQgbCpt3tsgPU8ubRG8UCbgUqCCQ3IoFuFVCeiIUO+HzvhpSpvfoWueZsuTCMot6
rFW/IKAKZrX4tmwPqQJlUggDCHKhAD5t5LzalWm9sKSkOMg7EIggWfNe5fgwwCoo5alpsKq0uuzb
iBObbh/m9VHLlfZ+UPMIQlWrdsqwW+sBP7sq5ksX9rh3IizuwMW21bwezF+JR/Ejs7BlMVO25GLW
mqPPVhArXK/QqIpQXp35lspDGLKf2LNT2ACbr9GsdHniJnulMLKVfs9LI8K7EH6acMRbS3LcGIn0
EOrywo6tbACa2wrTj06QkzUVhYtjgs2DJSMzoC+dWDhFhdmLAJyAeo9uXYzqjZigRlgOCBh+0jUz
fSCM6Y+EC48W84W/bHovy/M0xVTp16hDjgLQ+vF7kIvjSnB4afKIhTgCICyA/Mw79cNOLFMzCAe5
KOxKFcNNJRDrBn1QrhzoC1bma4arkckD2rR4xtY0x9MFG+LCNFDSok7vdJmnaw2XFxaIgHrO52GD
nvmFlVHyCzmqPToAtI7gEke1yQczevRKf/r+6QVSyFIiRsQ1w12zCGENOS0DgOIFkvcw1zVxUzux
0kUoblortZhLU/fR0vz1DwuU5SMKuGMErE7vXk0jUzYZAO+V/XYWfIBTIj05+z/8LiX+UyNSM4AI
lATQfHou3oKvLJ9Tpc8Plq+piFr0w7C7Pn9nDck4BoXXF/gaYC5YXezwqUyipC+xqPoWE1hKgQvQ
NYa3rZMTO9C8YJ8NdAmNoWbtMrGU/wmjcKy1rNgGCsjg6x/n0iSzkHOnLvlZIBWn4/czUDamx84x
rG5yhUKIUJvI/n7eiIHUFc1uvD7JRZwa0aH8CmuY+u0hrMCFjj16vuhZWMUaZ8Sl1TRgGcPJQyoF
IuXUkKfGmYj+emGjVzQ4EQzOwMphWNe6fdYI48oNemnuaOVi8xiqbnDMT621Q60PaZcXttFo3k3c
gRMs8KLu5ycPKgqIQXQIHOnqP7UCf2+ljD4eMaoRjUC8K90MGvLLn7bCtPGIwiOyUMuZizNgrFZI
f8fYG8F90luqI4Va8NlU0SzfMCMCubV4TC0b382pExph3vsxTD936TjIbgFuesXnnmc6ZjPgg1AT
IbEMmOx0ylJ9yjUxNXI7ar2Q/k10kaUyOSL6Dl242N2bvfZU0G63KUHx3ZDvPuogx1ful3n1T4LX
udOQ5n7KBGRbzjihUBJurcZPCAT0DiQyjVu0KqiDJna3oPp6xRl6KwkPVUez4srGvHAMeA28k6iD
9DwL7YSczpU2teiISSMldgJRH92+CG8V1VfpnPD49+d3z4yQYklpNT2jSGyhbkXfCy+iBkFo97VS
bY10WjsJ57fcO80dArs0tZ6LkpJz9uFGZFmBb/tOYhr5Ycwm46B61lrb/PkMYgpOFIW3NxDr5YNq
pvUWK40ZzKEGEVxwwKVpi2BHvlq1ov0JetqLVs757PdP9wupKrSD58Z5qPhn+b+P110QlxoUc8g1
F1kquKoF9VPZ9tOvsjUSV5Iy+RdpkOGmCJR8n1Zy/eP6Ep5vV2nu04UmY25Sxaudmk+zUvSRd8vp
yanQiNeNP0ll/NAyElSllaV2q65Flefuc7bIo5VqGlnWJdFO3YdRKEuQO6B1wKO1bNs9R2UNjDy7
x8W0oluEGKfG/uTuWbhPOWpAweX0SlWRUE2OmYXhWzmNqepWhad+KeNuCu3YDMgZ0Wpar90RF/as
JuqEs8SAZI+W+MEKoj1YShEbFRKvBCUcj0jieVLwQtctEgbX1/CC46NUwlPZgKt09n6LwSqyEKt9
I3Lw9foLfjF+oakjdju1SiSXzm/tOVaQV7AHr69h4vE8z7CFui6/BhViXp996lEDI+CdQf1wTwAa
Pd1RiAI21VTSlxeXAce1a5tfPWTE9ETR1YIQe3xXm69S6a8B+S/sK6oQFI2oFHB8l/QTYmolWlmw
k7VRTXI6lTz41axOCteIrS+tLQ8vMKiwqUB5M3/9Q4Ca0vHlgTzNbb9uva/dGCnGZpQs76YJ1dbY
XV/bS8bg2uLBTpKHX4vZbFRZDoQmpj+VzPqxkPL2HnJhwe30vH+5buqC85uVw2H4IqdKsU85HZfk
qdpoZIzLiAzvT9RI41ezMbpdnCXJnoJm8O26vQtDI0cP6hjkOfRFS9hJogph2tLWhciQYbpCQAGz
qqAxzfmZlRNywRSkZdQu56GRLZ73zoclC/W08Osmop19VCvfVoe29Sj7ZcpBkjNygdcHdsGnwlDM
wPBy0BS/lyc+WIuGDHnwlg5Tem8jx8sDxEGFksKf45m1/KcZq07cQamhr7ycLtmduwaw+A4mWeyV
tumlBC5C7PYZGZyhDdV7BDRTp4LV5mufq/mtSYfZSnB3aW5n5UlcHQ9dOglO57YzOjVtBB9X15Al
8DJOeRGXuWMYtb7iWi7s0Fm9Y2bXJmsMKP3U1KT0rdH1aW579UT/WjvJu1HvzH1beRGMu76wkmi5
NDSe1XP5hHwxj8VTe2VvoBxmWhklTlU/yMIkQ1qo5U+TGa4JwlzwXjPrHLWGmU6GC/LUlKqXcuOP
qGyJfpjcqxXpowi11+31nXnRCveuJiMIQyi1sCKmRZzqGt6kjJJyU3qieRPAyLRCBHRx2tCHIgRF
LkRe9nXVAaU3faSnvky0wXBAoifjXo2oq7mjZorliou8tCvIUM3vGIIKpEhPp04UJ71qQ/wWrJrP
XTM90uvX2zrxlG2UUbniSi5ZI8c3Q6hIE/OuO7VWZHWkKwWHuxpL/5iFlbKtY984iMNAR2s/tSuj
u7BkeORZBE+EBo8c46m92JCLfqApwO67oqAuG4hy5/o5jXErA7uwarO4KIkxcrTwRs0f5IPXGgpV
CpqQczx0nZG6KdgB14hzM7TD0Kuer2/EC7PIJFKapNKO6tTSmDfQT9r49GbrVqBlLh+n/J1VqubZ
nkAil8y/GnzeO3Jjky0lJiHkXl7bU26mQzDIGbQKoefEgk/HH12pdasJG9WDuhfWizWxtEtzSlCt
zSnoOc80T8OHOQ2aSChSQSXGRDBUppq4SVLFt2NVXkuwr1ma74YPlvQCWBiooMwu2ibsDrjqJtlk
Y9yhrRwXLOX19btw1dCZxlt+jk24UxYDSxsUF4JaohN9mJrdNGrCF1i/LUjV6rm30BqPRhl63/4H
ozNp5XwceC0tjFap1UPzr2R23TOJIVCQr+mof4Uuv9qKeqls+zpQV2xeeJ7NpJd4TJFXPTn303mt
zSmHXRxqCF5KKHAH2dEqhuTb6AXR7zxV0h9aKlauBv3hQe6HdOVMnr9i5qoQLpSImr6r5eEX1dwY
lAR6gtYYpEfISUYbThj/J9QR7d1kCt6m9sr6DnqPlZvv3OvM25WTQhxNQmF5HWWNakHyniH6KAMc
oqThbyIlkh+vL+i5F+DVCU0dqFfuPsKz08ntjAwlQzkgYeO1wQ8f2t3AbXLkO7eqN+Q/mlbzf163
eD6h8zuXlBodvzJl2YWTC5pUCMSKCCJtwhR2F9TGvliIV/t2RVllqymZZhuZD2eLh8r5GmrhkvX3
KH4mAJvj7MV4hVwMJZUwVCyKIHENgYNJ7j4PesfqE6Q7QuiPYKQYxCLekyyW/l4f/bmTmKlU6dOj
LKHIZEpP7etUJAiTcRLyECsHfv2MC7XfyfAabD9tiRTpTPoxGyTBfmqJt4NsTQm3ZOZZRuZmk0mz
vhVT09/qnTYGK+7o/JRChM4zgriQNSWtcGquhkY0GhDUg/YkKf9wgUC7DTOCFHtk4Jos3/npWH4v
eqPYRaOivl4f7PlhwTqpdKDIsF6REDu13rS6Hrc11kGORTcopIg2xLnyp4/kbMWk0E+1B4jpIhDg
hJigtHsixF6wjtGo3nfmIBz+h6GY8BID2KYXeImrqcH6CaDSmMh+Kr4ASkfYO4TCaA0LduHkk9yG
ewr2YaCDy3IS9VNIXbI2s30oel2rpNXRklL/AN5vOJpmI3w6JAUHh9IWdTI6Sc8QYajvjHk5L5Eg
RMomQRz1XiPvtUn9Qf1yfQov7UU67VGznBOWxjIchb9H5L01cucbPeqdUak6JBNSVx775FDUlXgs
qbc/alVUfKcPrlg5Chd8DGEcU0rWCUD8EhuMPjg6BCLBtwePo2yXZBS/qCbKdbYIicmLLAtaZ2tq
CNEAJEPVyuDP4wIiLFpYKfaQAdeXiCl4uQukmhLqaiiofWcxQt3OZA4jTfJ+UgN1jOMnXxi0/8Hh
YHgWiqa1FQqCpcMJw7r0Ox4Bo1RCqsUnPHTmFLxJRhuvxK6L487Js0D0zNQVs84Lkd3pcfe6IEst
dQyh7641F8LKeiflXbTiQZdJvf+aMfFncEjhtBfPmowLSgwVJXQjahSNlbRu50/CJkeZzyn1WoSn
u8+OsSJ88QZv2JZUOx+9tvnkdj77GAvnphZi3xDchm5YVSm0bQZkN4rY73IjVRCFmTa5rsBqk5Lw
0wAzbq4fpsWN9W4dgN8sI0YmlQzO6VxXCIyHkdFCWeX77REGxHGD0k23zcNurcxwaVk/mprP9ccI
elKMUUu70G0tC61dBfELeajzlWVdOL73ASHwy5ISzfHwmb/+wYrQBbEWhFHgemFl9EcRFKzn1CNk
YwdljCzx2Sga75PR3GwUJD2nkR5z2MiXmiHKqJaVllu+C6uEf4f6QenOmauVYPXC0GC35PIAPsM/
y1C5pVnEE0gwuRZClelNKyVKvG+Q9pD3tOvX9AAZBR7/+gZZOJz3oVG6nJFa2OYxcjqfuWd4QTjC
Ep0OYuRRAC7acIL/se4hAokH6F3gbAs6aL3akmr7deNnW+ad5pqiDa6OcS8h8FUHbZHgZaqjoQ20
FytvdHSArytWFh4dSTBAw+hMUkHl2QOh5+kQ2ySkgSWXYQ0NR79zRiXJH6JysDawDwmbeuS2TrMi
2yry5K+487Pjh2mT4jN4ONg5QPqfmraiXPTiKFUcScwD6YusFV35GjaNDLM3GJe6WalGXbLHuZhp
+XlswTVxai+Y1ET2BGSAx1jt7KSfTBfah8TR4EB0r6/dBVPk7mdCdABOnMPF0Ao6uqoYSI3j8erY
eGWGrCj3Mi6trFYWcBERzAsICmJWQdERFedyOh1VFOulNLQ9o4I18ibwsmIneFPqyAKklU1Hjd/r
ITuK0kG57RWtX1nEs3M5m6c0QlAHcoedempeFuBkb7JAngWszJ0wNbKt6hWJaVFQiA9y8fH6zJ6f
CpRaKcNzEVPTBCdxaq+AdMuLPNwaYjbqHq1aSFTDoFmZ1PNRnViRF6cCrlRLKKHChAZRNBzf1HMn
GUDeSYH1CJvVmhDaJXNkZ2dwNo0UjO90UFpG7jQ0dd/FiYlZtEWLDDJHJ9ASJWltM1NHOduMTRKq
28/PJsAh0gCE/iS+F7MZkGoEwy8LjmLm+vcgpowJ8+jTZ43AdgIomowOFSBO/OnoknxMAijBVWdk
ON8tMc9cqhjFSgbufGPQAIH4wdyWYRCLL+YwglbA7yMrcmWZqo9mhvlGCEPp8NmxYGXOEVESJTG1
TE3VudIH6ClGbqHKRGa0vG5DsV7bD+fuAz0hAFRA4WgL5W49nTFS9dDKlmbkCt0I73sgcr31UrQf
PIr11wd0dsXNiCZiKhSyDJqFlldclc9dtmE4szA3/u8pbtMXDU7TbRlpg1ubuXD0SaKu3KuXxgcS
AkkH0rPYX4yvmphgv2QWozAoKRkDZa/lzLAHuKJXTvIlU5wo7hfeK+RFFttCS2aGcoNt0U9K81AE
eerknSl9VwEYfvowzd17YJDIqM9pvcU+F6cyHIvWjN2in/KdVSf/KkVfgx6crxf7gXIEuP/52lz6
21qBVVKls5UNaIxf23yCK0xQg1v6Xus7EVqvu2wSqrXa2PnhOrW68BOePua0bHmhq0jdtO+KsNnl
dbemVHoei1DUJIPGtUkLOvXN022vDWMYlwKPEsFswy9p3E72CIU3JL+FfCMFkZfaYe8pezVovJ/X
j8GlAXKJ8bKViYEAWp+aHqa6EIRh4D2k64Ort3J8GzfiWibpohWS2lT3yfbSRnZqRYta4LaeFroG
VLhbpchjMGTSWl73fMvzpsERKjNzFrW4xaMqN8Q0k5ogcsV28lBB6Yta3k7Qqqb7MpWbZsUlztv6
AxiGYWCOhhQItHhF8Zo8HVTnZ2pZTgiSelOp7uC7nh4zLUzgw59zVVbbWfvra3XhCJD1s2Y0ChHH
2VoFjaoKndFHrmkQbTSNRM3KQChxz0Ol2Xbgym87o67TzXWzF6YVfwzoBqtIgoiLxWsQOBKlsotc
n8tnq2XRdPDClpRuzmN+rWn+wqTSx6BTkuPg8apaTKqFbLhhIWHn1k3j57SfEfo5oA9M3Ql1qw72
sZqH6afdMolGeLvmCw6asKWolGqgk1u3LVIFFEMdckvei943yn5S8u739cm8cBIoXHHMSRTTULlE
UDWtQRUg6FIIVAmwOqnTnGSy/vwvRshEk+egFWz5HBbRWgPP16QuAOh+E2Si6Ga9Na3coGf7gvQJ
1xh1P3I2M9D1dP8PPN4oLka5S295+ZiQdnfFuup3wSjp364P6MxBst9nwUfqtdwBvNdOTWUITczg
6tKNck158UBmeYdwGmlydXPUQqHg9EsUOhy1L8r4RwR1+pq+JSXUs6Xj/QRUkgB5RoLQ4X76IXjO
xTR9wvI5amJMH7gwKYkM2Xoy1X7sQAdapxNk3+k0c+qaVR0ltmimoh5D82uNXrmxQlFKpecpVcbg
Z4genaUeesiEhdcA2eGi+eaNcZRFe0PoauFPlkaCZzpCKHpCZIdxl8XRBl5vxCUcJHS7UnQbJED8
aNdYUaW8dOiVCbD8BkE/f38wlcr30gjS5p/UiEX/bZInXbmvUqNK/5Sx2rSO3I4hgmFCHpaRHUlN
lB7bIgqPogHZOMWxqBvfhiBrKJBnrV9FxlZWw6x1RinuesumwmZWd2IysyVESpCYr6R3ZPVGp5dS
/GPV9D59jXkQwtyb0xYlZQ4zkyIonwhRm/Hh88E7FlWUNqiFtFn/LI2CTrtk3kSe56YUyWMnGhur
+jqoUFQ/VLkmKPvEsjwShIwl176XCaLbk6uU/WBo+6qc/EnZNF00CI2TiAmsrfsqqIV+16RArRDa
G6hWb6QxNGdmeKu0UnscC09088BTxqccLs7sT1JkuhzuGpgCv5U1z9nOTeADFu7By+befRNaE2Dn
VqpDHipdzUfVQZa8Sa0v0tSqTFk2PRd6AabV8qGO2Ay1CEtya2hJ9FjPPDSpKyhoFX7TvNGofxRt
lQStQ5Ipa5/rPGrQ5+myKKkCnrKeJe0DRW6GJz0cmphXhD+1JfXKSBQgZU/kqp2+6YOR+F9DzexK
YQuDQN8lh6Tt2uDRCNqig8c9IGp77HsjT3q7Sfx+jJy5KkuMHY76kH+rDDr2eXdlhdW8TqPSe4Md
dtokPCIe4ye/VW5sFCJTQTCRuZj6KpJNKv6i1j7neiBqf2X0JPyYpHRdBiI6j50RQRhudpUEr31b
5lXj+lbeoxzQcJCtl8hDvewubQvdnHajr2XZd1OLRcQswEsEI3cLehj9D3xlJ4t200K2/6VsTWCQ
O9jex1qx5SirNN+J/UZpKztEm8dDvDOTNbayp9e0LQjjKIlvpjpONT3rCHtUneNHQjl+LwJrko6w
X6vTVzWrWv9Zsbwme6G7dUhczfKE3qEtYjLgGG+8zO3ycBTvZnFHGv5Jxk+viQB6pHHzVsd41ZfG
7QjJtfraRCbKyKaX44EcYHd1ILq0Ekm+sC/HhMqrnZXqOH7PVCQugm0K/byJLkMsTkBEskjIKvFG
qeS0sBA6EStLdINGCOpuIyI9Kpj2JEN8L9+0Ap2ckO93aTv9QXaBKpbrBTUoIFvKRzFXt0CEMpOO
OUmYRgntmSnrv4OwFCIfrnXGcSvLvgBKFZ4fYMk20sd+/FMrq6EIHUjHJ/FJDwrIE+jaGT0rsqcG
iExr42C19ncajVEQ2ILsW0jazHiIuj4aUlKqzX2ci1pSHaomCYp2Vw20BsPAzqPA0N1C0T3tNlMi
PW3hLgqDLDg0eGu0uRPJauBrh8NGc2RVEIrYCdveLOTDpKS4r69eoo1t+5TFCvJGmzqzjF76Wnk5
bx+iO1h4kZxpMsG4G5BDgbcc0FAtbwof8ni7t8ZW2tTQ6Zuiawl9VH1Jo3Is9yV8HmEEohBa98hG
nLW3/pgpklXdtolG/V+DUqpxI4lxLf4wQrnOX1KDjnxQf4CVAB7SSJr/kRV8si13RAtOP4RddyPq
MBe+jDyQ21exyatklyS+Lt/UJnxUDu5L/GU0KQRHYTsWh8qbkl2veRIkEX3pIxjh9/6d7snBw6wG
upUTK36grlZQ70kNiIRfzBDZlQ3ppmqQbYreefCgF11P826hwGD/Jivkvn8zplB5a3SkPm2tFQRr
x8ei5IAkTjvrAmeJsgNuLSY39Zh5Ggz7hOlOHFly+aa0simItpCmJZpdGjL1T3KM+vitxA3sfSnV
cBhv8XfF26RKY/DqZ1bp/Tam0EwfIyj+jcemFCfrDSxQmW/rXAhR7JSKbtwRq8LX3w0IJqubUki9
vzm6LdUXYKthukUbYrB+sWVz9pwnAXd5rHQ5y/5YnhrpNBZWzMMmn7pK+RuqHdlpW8grmV3NHhGH
R01JKU8J2djoz9k4ldMxECJ11pQZvCR+9ZDREbO92td6bWxFrfIHaT/wUPAGB072qPrXmWMv/u1i
tcx6O2gktRWcuhFU+ZdcDUOr0EGfQZru0qHR1YkDE5LvIzpjBchh2X2OzEZkV4FSDrWjj1mZ/UUb
WUQ5JDfLmm7ZwJcb6yfqDWLxaoRqGhIx5Gz0wAYZNumygzYNik12K7Vpk+FIzaHaIZKU0INO3aO8
Q0YArguAMlAGoa6APwd6ULffU3ChqOvoQ9jiGqVYcmJwIGAspRyJJw3dF2BFYhyq5uvgUzh99Xoh
/eNnRWSSrUy6mGxwIb1KAhkzR2EvKo5R+lX6u24n8wmAFze2lYrB8Khn/bD3OV/ebRwoQebgfco3
U6LwywXbxd9rQD1PiIhEf/RQa9J9kQ/KY9H3+iONp37zfi18902pGuhzrPVj1pdB+0ykYJKSDjQr
3ZUT5BY7CE28ZiManjo4Sm5V2n6qRWAtwH3T11wyWKxxEg5VNYooUUVeICIvA+OBAxAPOgKtTJJo
G+mad8vrZkQpI02mnyFKLdahaORS3RRB3QPBbpp0U5VSvNXNUVK3CMj5Ox4fsIYUY1yIgNpQuneL
NMtFpwM07lZU7tpdz/X2XQGLmTilxx3jaHHHooRjAjNQB6q1ccYKEalDHXZoc6idCXYMtjjLh0Fo
6Ds3HIV6OPrvoiZRlBkIvVTNAGVNb0quKHAN2dJsymlzOQbzIbWe6qAHq8PpPciDBMjOD55wd/K3
WsmzDgEbq/6qRob/FYkG719AZedRqqA/YUYEQdwGYU4dSTQqNLHpDbd62zJrglWIYwr9tvDSIX7M
8ymrd7JaR8UBObVA2rZKIw9fYzrNS1ctDQElM61GOibO2Zo60ivqxhtR4nIifuZhXgcy4WOM1ETj
ebLsEKPkiLNOxCLgEseUSyQykI7Us1b+afVaeuMr+TS4IJtDxiAOjbILhamkq3wKox85SxM66LYJ
W4XOb41PmwEp0rQiA/aXxrLDYyfdRmrCH0nDEoP7sZkFaH9I/msVR5G3V32vl22DSAUIRmRauWNJ
SfEQJ7oZbA0ZsQ0U2Vq92Sp5LVLSR3HNsvOpzkcn6ED2InMlBSpHPxXRvWzT4qk36lR7TmM/kpxe
FyIUhgajqO04KIfhTjN8REILX7F8J/N7Q3Jz1rO4RyJN3ud+lGqHXEkGjx8SVKJLo5UmW6EzCJEl
A51nu55CFYHGtBMeZKBV+S8pj0dbMPGZdok6ho+YTclfq8SGFW86qyPi0w2UkUGKZ8aNlUSGuiPG
NYXWRgYOIepJGfq/OsQrb2lScJ9EQYg8W4aybLVtJhSyUoQTModoSYWRuwfucfSGSnuVtbFGswTZ
Kwj6lM5/mgw/E+0C5P3N0HkEl13fE+R1U2HJrp6r/uBAPGVBu4igypexlOUftWohk5jkqWo3ouI3
OEMrCp3M63CM/SSpXytZHH8IeYxoitCpofQktw2UBRoQh/QtrsqO3FhcN212z7EcJ8gWB24+3QtF
4UtAXPsytQLULmIuhze5hEYMCjoV31fHeey7vh+Yyp6l0rrt1AZ9zVbNrKeOdpNo4w0hisE+Nepg
jyx6qW//j6PzWG5cx8LwE6GKAUxbUpJzdjv0hmX7upnADJIAn34+zXqmb7ckEjjnjw1SnSZdsTFF
p1znwMG7yNsyLXvjfsiNkiS2vKCsT4CQM+1hK2rQ3JT5BfWQDjlEQVG0F4J5engvKcdKhzhqqmwu
Fs4umI2oaSlkS4b2csLv+gj25qkD/NHqXtGe4uIQE+wsvF9hJdYLAs5NfdnJeBpumFXY2hp+lpp4
v4T/Dr0awXyYjcQOj4GlfIfWb389dy/+K4d++4/4l/JrKxp12wVo804+W/rjTpnWa5cLZQ4OD9TH
4nfOfOFQbvg6NcLhzGxdeq4jEyqGAtqkxCFgoPAvQte4zZWv2vkVnj0o9ox9n+1t153/POGxs0cc
SMOhzOuQu0Bwa2XIeMnHypWMK4bBjgV1VX74CCtPOMWOmSk5odF3ppOIpsj8qbskbq60bBiH9epE
x5226ZEXoup8fRzIq6vSUIjysy5wzqeI1pz2tV7sNh8ops39C47i/g4RRY7F199DbDdLEqZyr8kK
QEiR/KPyzvxztEj+zTJgs13rnI7qxVkCSMt45j5DYKeoY3db75gHrOfoXs6BkcZtx69t23C6FKXf
0gdHTdQPZAk7kE6o7du1mP7EedR/t50VtMbgTr+gzDOmvCeMp5EsDlDgE84VOm7qIEd7Upaj+7b2
+crr0u/F37Abtvtwl/lXoq14WnxveUpEsjUXAxMP8kkd4CqOWkinY1XX42mT7VwdE9fEFDYtlb3b
RmWck5Kb+Y6IJG3SQFj9U/vkJJD00vnhITdedKGcaXUAbor9a3bkilV+iDtzuTaz/71tconw9Nj+
i3qgjg5CygrvvNqjQGxpt/tVgIOf/HEOv9ZC1a9lQEoGlkY1Xy9hwYgUQKZQDYzGZ71UiHDtYaSz
7Z8ZHfHdzab2ON+sfal6TSzL3O+qfKirUUKbtmv366p5stlmk4ZmNyGVQrmplhvRmmFiQbDjvyKU
+V/rD8XTwhX+GKpSf9I2FLfpyrf2E416ujHt6DLrd/zmKRkslMypRjAHKlWebbtyRrbg0NF2bjYs
l/tkYg1Pa6o42apseV4T4qB6dL2WLq3BqWh8ty6JRqd1tuuS1mMVRBcwl+5nqJsgJJ9kFg9yCnjd
PWyXEUAVOzwFcIY3WUYmYitFSRDDNgmbHDffYOFojOmvdzhfusU8FvujN2poTy21vohqvus00a0O
s37xFkoJ54iHLF+lfMjHuHxDeaFeN28BB2LxW+bUH5KROiUSGEKK12Lz3Kgi+F37RN1tczUX16YU
vjwmMUPMaTJtrGnYOzMqTu4WV+4YKX0yJkleudP76rAGVXdDcdOqryaaIf/2qy/u6Czbg5Mbl+V7
wcC6XEfFlDyXSW7pgpwbPAZgLEGe2XIcj7FrouZydGVXZ4Uc5H/x6BtEQF2ubuQ+7W9yWwadTfST
dUQeWbGlll/mooWK3E7rWu4feWGsueW0CNpT4jXesZWx3rIRyQTj7FCw3OV8eL4dm9gPlm7/NWj8
4qWZMPqmlR4DL6V4uc4PXmOdf6qq2xvsfucjHPQqPE1rNUQZLhr9GGlLZxM/ocsXsG9htmPLeiDX
zTdZOexhl66xCMdjwdgeZEJJ5ypYNz5mggmCLMh2iyJKHF35A8OX/3EGOb9L5PR/oQnsTaGW2mS6
VMl7vK39fyCB6nFahva7Dnb/qudjThksOeuvgSUiLQPNPzq4Lcmv/I7CX/7exfJEiVxvx9zxVy91
ZT7yzXJmgIN4wfysCPdg2fdQRXB6RuMjjezNlhLkW7s3gxXB39XOwV0U1tMXvWDy3Y+g0NJZKv3d
zCRPpYZqQT+b2z5sOfZq5aXTMsdfMMwMyUtJp90ejGZKLV/iHWUeNFo5hVluqYRlSHHchVqdPFI9
tq5RhKll7/gUSLM+4yqU/Lu9AUsIwo2eJrg6b+gemyhcDbGVsvzvVT9SiC22uzw+F4OEULE6HUsv
KrK57OPlyNRku0zOe/2BTD9/9JZwW9OW/WjP2uI8tY1y7S+7kEzCdKUmrc8KH8P+dTzZ6ctbrXwN
90Rydou9e+o7Hb8Hhe/aq6QpmtdB1/2PRmJ9R3xEb09VWCWGCkDH/3AMQGrqcQNj/q9G91mtHVdA
XhKdyREbRk+mc6L3xR9Y5VARy7dyXbk6tt7i+gmnxqhr7dT+jaIsjCus8/vl4Heu+Kjinmg6doac
hTSWhDnNTC237d7pOR2koj6WVzz8FmJTtB2PG+FHNRtxpujOfOh89glwIDjlCzXm9e20E5RwkYvE
vYopf/0tWtldo19nilErI4arY/MKshyNB2TI+ZaZWMTlIQ4GBPQKQIy4THzzdxVk08+mdBKetO69
UxCuTPSdrvcq86Zp/nTGLXkMEfehte+IJKFJuVVTlpD/eAOV2QcpxFv1UrSNHrJBd54ilHVl9ooJ
jvJT7Rfty5KIaMvabfD3TEvX3Mq4sAlXoa6eY5J4o7QddBWd/HhxT/zGw87khtW59WbxibgIuzum
d28+BCqYbxXuuO2ygSV6jcQ2ldckR3I5lozVZcpZJC6T0jHrhVMMUXSYghiXelBwyEjAsuvcVfvD
rNWYHHdqgW9sZ6l8dqfA+mlCa/lDRYvumnZRAY2plqm7rCKIouOO8vAjyIf9a0yMMx74DZvbxWjP
PSTbzMOtmrx91/TafdOiLIssZEL5gWSwd3W06fLAztzda2OFenSIYtDFczIAAh9M72uaefKlmj5d
n3pxgoEXudzLnFbOQ9zFo/1uduHMFExq3gIRa34Fh1GdzXD2G//iLADA4kyf1094Lus+jtO8b59b
vrgvMcThpaXTkxdnX5ePvt2Sn5a60/IUu133Rni6fF96UU/Z5ov206m4dVOHjfvPLuqE4KWQhnd3
CnlKk3ChaVnMCz3gZsmH6nIC655Tr6N47rZQCTPLzlr8EsoZeNE1HskAPgC2OlRDE5uUuNLeHOO4
7htgDr99aQzBCcSn7x19klNpPrWsGUO9yO2iY6v4xxz6deSvNvEYzQdnt+aO4Xlkl7XKjlkLolcd
cee3LZjaMH4Ju9JS/UOrKZCCdcbxKa5FHB894noYNrbRbtleBR3IVLRo6sPpIqNY1w7TkPVw2v88
GzlE//I7VN5lkGzD3zFfSDrNo2X0MzBm1hob+QtIjwj74XqWnlDEdPr+uZI45DiapqFss46iy8eF
Rsnb1RFbdzB6YxUqdmR7GRXCBMmXkx62k+cxY6CAKZABt0M7UZCKue+5nhbP4f++9veuXzO3WQpB
29MO6iuzsKvCp1ahGkiNXQYQN6pj74ml86NUD+HyH4Z4s6SAIc5wCPmZh0M7iRLAakiKx9USjJMC
lDTOxYpqdzsEhoROcOgknnh0PHmn8nx+hlRp2e1t37nn41t9VUYuHNNENfHHK6bpVOTu+urtMnkY
WqPNBXL9+nHuCtc7BGREPFHkuC1kemtS36mI96Cr3HJhEnBmzxWnJQEyemvLukDjURerm/V9V+13
jWxY1QKuwTaN9UJ187ALwjuF2jd1U02xezkNA7219HDmryVPlUZZo+ISrEL2BYdxxQtVoZUpUoPc
i0U0DIqLpfDj/UA48QCVmde6SGOCx+kRXXLzJTulnYuSLfUKTNV/6KMt/FfSB7hwbhXaZjMPUJQG
Su3OqdmLZj9Mube+boFoReq6lZ3JxpAqgoSpojYb2gHBtyUby8SILvx9A+alV6C538hQCzJ42m1k
2t/iO0ii6U+ORM6B8AcKIc9220H9XA0RUG3jLjKbz+hHXSpoU+VK9S3KageUlEnzmsPQD8c2EhS/
U7AdPyamZnLCXTSVqePMOzizVc1V7nv4erWBlkkDkhm6Q8TkOmULHF/LL7n3LABGBlMW1IN8SSaX
vdrFdPkM5eMCYYzuwiC0LPSQNzGclI308LhUjLwHMrmbq7YpmTHWQqzjYd3K9dvLLY3pubcNt3XT
KvfK07l4nXbpP6H93Vt6U/MEhNXppunYwvbd7X0AAFYWgf7zf5IhTdZk+PWWyTyILtdvgpZwdUym
sf4N/IbrdFjN/r1ZMT34tit/x54ID5YDP38YbEf9upv33tuqJJm9K+jTZeT13k++cOTxUXnG4EX3
5bCYbvobdQJgft9XEreWuFRYkolyIa+tDo7cc/IBBm1+ZlXdh8wvAvuBSFr87WAmuMiS0sypWlxR
35FYCp9U6HF9GWxcWvT+O9UHgxdNv5NDZgvTevgrCHJ0MpbR+N7zqNYmsN3Mf4RpmaxLvTh3qj6f
NKYs86eO65NuTe2uN5AjuG8RMkcizavZDe9MsMsQaqZVT8a1zLv8ld2DZ0RItOHKfRfTGU3vexQ6
z2Pc1ePNnFMPDsHUrsGhiBQwJTHasXe5jJKorICEleCg6e/8xzd0PqwYNZtsAE59c7cSsLRZ2LbS
QAJ7FESTBJdcgi64dptDhHt72z8156SBU9J59pZjz+9YPxjv0zAW/T/KnqXMOlOOrMKr3z/XJpm3
DL68mk+J7Ah98UzlPk2MIE4WovJ5nBn/J46DuIR8wj6y4Iw3zsSQXRgS4PN2WNOGsw570lpF9kri
CPyNA7pY09ZdJF20Zrcf61KL18KtpwoqeJq+uiYHrV0pk2vSxazDY0g86c/EzfMA0uw+ktnbe48j
WvgcyK5tqN84M8Sm7tzpPQf5cy5q3y6PrePO7U0e6n1PR16v8IQZEf6vFufQ43Pe8LGdZ2Z5n6po
anz1LKoMiW353TVgs5goJxZaMTUNNNHQlI8ebtjlOOl1Ohb5DMVvkPLx/VqPoWJSTvjUuHSQ8lUX
zAo9atBvp4GYPnYzR3Fma8MTG/dO9E/7jn2WdlnnmyEOuXIsnhs3i9bAfIGDRzKbESFfhETflleV
RB5/vubIxByG3mf86wtwO2JovDwD1t0/arO6n7ZRMU3oXiNuML33v2G0ATwT9Ezgag0F/L6oaI0o
om/h8IMiGq/aWfBfbqd1ZKSVkQqysYmDf/AeAWwHKoIzWdziuerkzJpFcLzzA3YCLN5xqK1ZA33o
3dqpdf4oIUfvKOgsrLKtUvEZR84h46MS/PdAllz/3Gy+/TYouT75QLS0sGyo7hjhDglpQ15nfbGR
n34N4ONQb88j9MK01KlD4efCyfp4F/6FdbX/SdN09YZKtfy7gM1+Eufplhfw1O3bWFfB77T3pUkZ
ehwwf7i576Ef5Z1J4nGbjsGauD8Ix4c99fKaEADaKGRz5TRqe++o7wquvbLLp4NGDcKDjLHzH++j
GUEPR3jialWWEQ/lzXgMG1EOx3mq5M1M2gR0k+nkb+63IAFuH+f0EG/hdoqqHTVhtQSOYGPoxVzc
FUHd8plhBkR2Lpi2p35ZfJW1/HbXnds7cMkYMn+bYdNPQ7cz1Ip8zqn+Bq72j0EXmDobHOU7N3uu
6HEmmCj4FJ6BEeqK2NOnmgX2OWqEO2RJIIS9qqbSe0UOSzKA45bMBlFPhkuvXdCZ4jwHpAX96Q+q
8wfF4b51L2KCHuOWpvEj3d0henLmcC1Om9Dt32hgOsqqDrA6VaIIuM88Nbzq0QT/4bkAn+mapY/S
ieZxKT8kSYbunW+tt982k6xE6jc5aNNaBNEDWt2hOcTcwztUezxyKIlgwV63kg5xKihwURe5GqP6
xuP4AHkuR+0e6aqsXuumsMA9wSaqY48uSQLnecDKgw73zLML6mG32Zs3fF0htd7kWRT88Wk/hJ23
65QrEo5j4ab5nQnRlQcYH/c63Nq8IcMyCa/DJhYGQH8zLyVf5duw75iMTZ1UfSYazj6Kzb2SyOGu
H4cTkFDxOJfnfA61hTTSO+Xyjt+D169bcgQoth3MfChlPMusEANSDJnH3tVc8/59oRPggJQRJeqD
53PYNoxZvJz0tA+pWwExEG6COJLcxJkltgpHTTdQ6/oXSpP7xm0Q5UdpWCJS2djk1K1a1LeB3fIw
jY1jKsrNSSbKVAegStNvGPwOwVi+dxwpJV9CtFz1LiPRIUYDJZ/3Ri23Vjp9dct0Ft5ugxN1F8Ha
rVUWBC2iGiYH0BrXXd3p0K6eAIDZCx6eMgj6z9UufJDRr4qnlqXr3bATYPERPQEHezzkf5q4GCxu
yj2KMoB/aACo3ulmGBhTTi2YepMp6uYX7LP+dO8uW/8jlAiqG+OFwSXu6+UnXFVwdLxyGe+B7uG8
NKZIy6E0hv+Sta3+s3Crvwr09U0OIdKJfCDRJ/ObgulNj4zmh2od5ING7oFCDA6WHKXVGiiHVTaZ
9YghJ3Rzm76iuucQXErQcm4SHU1Z3VQzP8UW8ejreOhk2pWzfEuQHn2VyjVvzhjFS9p6nfmi1JxV
tC5X8cQ8saNQGfnHR3H7R8plemtM7yQpZ7Vb44FCd4JyTE4MLbYYKiKPwm5nd9tnnVYEwAA1kCAP
zDVEU5y6i5FfgavlH9+JlicpWFDTOV7nH88pOuYRlqDhkENrXrV8QEa6fPFvKkbSMFPVOvdoVsit
JuzTJ5h2HRBZ8Oq3wwV3YfkdyS3QxEvb3SfnaazCgxRBVB1yvkA3Q5Yb8a7mPAdZ5fkVsmUyw+DP
BwRb6flMxrTCDyzTiVqp2y4G7oSRa4Y3AqbUf41Zpx4V/q4eOsXkebRrMUBrQe+2h6RepTmZGlp7
NGE7ZjZqJJ8sxyV63HMuGLjx2PwdGqf5YiHAx121Yn/1XOvgWhHj9ioLWz97dnUBjdwNFo7rox8y
9Bow0yrW/cOq8/G+lZ7/Z+rY9J+AnXyZjSiv/lqcdZ9Fb9uXOWwYsVGA12jCqtx/KwPb48C3lX8v
oLnLy74rxq9y7c8KRHaQJt2IcdMXC7XhIl2XhPtC2KWGToJMfA1DRC11Scxluo2d/l0xXPwNWUEL
5g2f99NnSGCagONKjn24VTob573442oXMdEAo3Nu1SihK4J+43uuWuKn02Xx3Cfjb+appZxsALqU
9ReKOpYQq9f/DMriNi3n81M8z7LqL/eh6T56CGEe6ESZKhMAA04Kd1AmKaATUNQeNuVdqYcuyibp
TdzDG3/oNJZyKan3KAHHlSOsupRtjnBoLox+KuYciUV9FtqnUm6lRY+2iA92c/XgB0DdfPO1eBgm
XTxipyE8N3c7eeW5Ggx4OkuUeOGCgIDIpl/iQwSo9gaoOHw6xeYFx8hR4LLrVLn3aCa7MMNXAnDF
vhbCStduZDPOWcQbjF7dk12oiDmI0ecHLzVU8oFXAJdHgWLvQ5T+YA5+aZ3LTUC/c4YX5isegvw1
YIrhewrF8u36Oyw/hviKmhk3sCzqYivf3LwK8msiWbeHbiQx5sSrwMGGNI+7sg/oQoaBXceCyd2f
wJvaIeSqsP10KyRnSxrpQjcHreS4pyK0+QN+i/V59WL9vUotp0uXzJCbTkHFM7n1ObSkDL7A8TaO
v2gqLnsfhz1YbNVfONuIssdIMdzwUWekDZFXlpnFcvVb8fzwN5DhfpqdNvw3yFKFRzGt3df5eGBL
g/Mgy5tJ4irKTUusIXzp5xhvLn6H0i86bigRA8+AUdyrCXMB8pgwv98jRaPfDhCHFqHc+/WQ5H0x
MBLJ6noPOhDsIUenDoCB+uM0CtvcN0nP5dmO7ebx+Ez+dRPAOZF54/SKHSpsnh1t6p+t36O/JXpw
BJml77zP+8hSFChSd6QpUdsUnoPHsFicnLE8XP13nsL6Fin+j8lnNWZ+NzDtRRXzebTHHomQnXIu
a29Az2R2SE4O7Hosj3XMyJ6ugk00raHrEBslm3eFKKeMjyTd0c0UdsL/6hDDcVr5XMN1tzqX5Tzy
SgD8J4+zN/iPAwh0d8g3f/scPW5NHj65fXsddUNp3dThzTqj/Uq7pK/eNgtdBia1BXd4sDeecMSV
5XFB2DeRDTVItvmogcUIJ9e55oeb0Go0Rrw2iSkQsp0FiH1A49DFOq4VB27efU6YSD82f+7vO6cy
/mWtBufUCaPlBYfr2GSR7nUpUU0ACVIHBJ6g1uumg/90z0wimro4jXCUrpcmCVr4hrYKZ04gD7CX
ohSMDmTlQ2+vfsP7xI+QT+iYdBBCfKzxXbNVNJrNPvD4HaYy0IPONGFEt8yEPhdYArSCe6PUx3WI
lH+iKQhIu1786aOvve1367iDSOSCcT7U2o4vUeIKdYvQt7qpOS3aLNrOWxUcM/8I5DJVkUbMXh/k
kIobXIvQ2NG+1V+ylNsvHB9/69TMTXIAt1LxwyRbAGEaDnf2AfJvYV27OJje8cENwU0Z9NUfRAda
M3Ctw4JkphJoRgxWliabBhRYlwWQ2nyLnXa+WxGaL1kM3LVf0pA4VOUDXKvxXlFY7N8MXit6eBPJ
fH7TRYMV5DgRwRVdCaj8L1K+tw9T+Ga5gJOP+0PCVozGYhGkQ7JfA24X0S4+EyLRiO2Kw+S+XJqk
RA1WxgzXff8yQ+MjrHIq51sgj+gOe9UE+RFxSII0itW0PcgZjRBM9/kFkIslrNDr4nXMYu6UkAk7
QmkG05e86n6Mn/bF3xzIyp2PiUN5vEBpu93t67wDv+2cDAeIkeW5QDS9wA+5zQimGTdvFfEI/mHp
+4nUH1SADJlNa8GK54AjZ3Iblv4YYYiLZExrjS5FlA0Ug+Cxgb8lxrEZ9ii/HMGWK0KKGHCz3vGg
DKHguvBE7NhANhNRavEJ5L7hbvI9qDmJjJzMuGlnXe6m1YO08kXxwvC4rceSBNVrwmRcEBanE4Ll
eObx3YxDqsJYtzZPG8vxDo8I4HNFKjjLNIKTCG3XXrtfQeM1+Ic7YjRJW10bc2j9Vf5X7h1noKho
o0mF34LRJjUa4HThsH6e1Kj+IEz0hyNbvXlbi7ItrwSDN9xGNfhPUeGRsGXcgSdSh512YQ1d925j
uPka6zV+IS44QXxEW1F+VMmOpXP3PX0/xZX3t+y9KDjUtXGu9qDoh4cp6aenzXaBg3YjRsHen0f7
NvebKZPOgiqMiVzgvO7C+b0rFXtuTSwohzwizvwAMi6fOA7gkPCYIcn1OyVEWtdieeSY2tfMrxs0
jkNNotE2/v8ekDpZ097p9R1HIzwxOqL8AyeGurQkq5oDggfoQWQ+46fFHzcfRgRv4zW9Kc6/wnSx
f+EIML4MmMDlKnFCGiQ5XER8dDef9ZPgcf1fW3jzxkDdFG9k7K5PtpxWbpghLL5Gbe2/IkJmd2qm
pPlOuKSnY8iLBRMx1vFIBE0doQu1jJwZTzxktywF7w0uBgY/Vu/mB4y+++qHqNpSl2j4N1hcMJpt
1vau77fki+wX1DwwxsEIC7DXSJZ9Ef+n6nb/rtit+FSuQtO2tNEqs7qqA32m84I1c6pI/a3IdqW4
x92x20uQOljP6uzpmNcEsWjX7y3iE8fhxy+g7a7nzXo6dSJvC3gPpChRGdXFdIyHBNk1dwuVSnEh
9yKDkB3vaR5z7CFyQuc2KDrKBip3U/0F82PzPvacygxxSI8Wb+DoR/DY/iA3rR/xtWp0hpXXiiOK
8PxRcz6VGWO+y5pW9cuLh1b8zwB38xqE8AiS2/G27ZX/XCtfdk9jvS1E7STVai+9eDUvcznPxKDu
k08M0KB0fmF7v35eBn8GedosphXr7KCNzC6Epu5e3MRHtiQRHivZsy6aeQyng6d5a46FrgznY7JN
3VUnjbdgx91knICtBpwPga/5n0vsPD9DtQ8iI2utJ9Ggdm39HfcIJy6IyFjzu5UdB0EXTfXPBt3c
r2Q14Kd2z2EuXQHWnssSOZlFAYO8QTvqe5tM/poz6f9HKNQZZrVmkxwEzIBHrDj+J34QlB4t9qDP
sTJc5JN2k4tRbQ0sKw6h9tKg73xmVxkoNq69Gfl8gDloc/fRzWaFEzFtPE8pFCaAJIc8xybDHBlF
j2DTTJsBroCbekJ+d6iomIwhDxauJ8Q1/ptnx+rbxCh7M6Uiplzcf9OYjU6cP3a1RGfE5M+QC+1a
Nqfeb8MX0XoIeRZCQx5n4eo9G+N82VLsb6iZhsjpX5uosn/jJXRfQggt5+jmuyMOZZJATtANVVRZ
M7WMpkr43ZMb6/iZ9sb+0xFzgGCp7wsv4zwEPqQdrrvFkiY6fM2T/0WePIJP5Ljt1YTxaj265L7r
jH+P85rjeb7e961HIwKA+t/cVMWnB5qGonY0bQUTyyOWen4rLErB9ay7ROCGOAAJ/Hve2VIeUCTt
0PBRPFygsOdP+mjreu492DeGYyT56eKTk3YsJh3d6zoQhqNauQHYX11/TENTvSZ5kzxCG4K4bHm+
izPAZfo0DgXWFlNJxn3LyfbF0MCq4aGyTHWP2SHFWJV/hyVQxWlOxloeLFqIBJ2XttdyD1uyLpzz
DVM7o6qOci2BZRWKDv/otnH0cN47Aw6VZb+a+7mYsnxZwfbIb/Ju53WXf4qGUywl4LKigYi15BRP
A+MM4c3Tvw3D3201tto7rJMDX17FuAr4pnkgs0CPhUrX3YoPDIj8xsYSiR5Xu/vqm4iolhHdpQc0
xoiWbk3vYbxpuuRJN/kepCzrJUND7rq8EI4n/myVv//Jq3VxEYSfcWbC4JYvWc/+mO0bOEy200CR
n3MFLYQbmNFja4dCIJ9lrU6tH7l32MWm+zgpEBxHbstkX8hIUxaVDJvhpIee92YL1bubZstPCEVl
cancOXkSXUmKRpLA2N/46wabAR0+H3KO/RmLBXf9lVfLRKSzpktZd5NgF9XQ7keW1a7Ghlj3/ZNn
XWQBaMZmTDS5A9+FR245jqa0w2FyjCuzeMcCnRlnWb5WfxPbcVsmtz4lZdLwTpVJyKSFAHVHPlcU
9cEFEqz+MwXAzHHZhbtmbY8BnsHMNkguktGrrskfS9q7ba3ix6Bq1Hjw111h0+rR2D1g+YHUXvAp
8GWMfvuf23TufLLlnpuDNUBWp6JkMD64fIvTYecQZ7aoYan4YtUgXFAhL3+uxohZYqT6QiD0XBlC
LO/qr+oMheoVvo/nXlsSXs41AHcUIugPNLMSErKfw7sxgHfO/N0OSIvjoSaLUeYuyltOrlRApNy7
uYvkxYCkosTbkGUfFP6h//p8sH965dYPElW6cxYMgh2DxkYsov3wL85Xlj9wXbBC0EMmrjqAsNGR
cv4y8W06Y0XpGEHXKX5wB390L3IZ738LsTl3WExX5wYzmf/fFrj+GZxRyDPpEiquAIbLHX7U6R4w
F/guGn5/KaHZKTjIEAHxRkWmdp5KSg+arJcOP9jqOMHrMk/QyuMSQu82zpxcWVHo7WLj937ZucHN
pQTNuKpBT560v4IhkXG23CKI4JbsUZ/cMx1wXShn7td0nwExLuJqnACwPNwEL2CSihGkXz30Ul0T
P4VtjxiW66Z4GBVK4nTlW35Hob4+nBc9pDiOwg8mRD8/4pPMf5oBBDlbfcOGIU2skIlQqfKZlJaX
uRhKG6HPUsAVbU2w7pE0PPmjANtIhvWG8rWUnWbzdZLxk5yhUAGydeqncMcJFUTeACnh5lYDmvRu
eHV7FAAcsugvZEDmcVrNlJIfeIvt38SG+8oc76MF2YBqA1Q4jI3opKV6lhVehgwWKvwO4il64g6a
/VOfF/DcPLrT0dHFxIg/Df6QnU9ne/JqwJ1jbTQw9v84O6/eurks2/6VQr2zmjk0uuqB5InKsi2H
F0K2Zeac+evvoL7qe3Wog8OrQjUa+GBbW3tzx7XmGlMzJ4SRgZnezRrU0Q2Gcrjh5pLV+t4noz1u
AlUyS9BypXBTd5ya+zjPlYNJTES2TQDzPOHzoZDuaooBf1eeON3pVIs2do+wot03E/G3e2rPPNim
gpEzNoGq5RtcvBrjemr0pHjiXSA8CRaBUdJAhYg+X4+45TZ9IX1PskkVuQPyPPpl+VEn2Dy/0Ch6
EkVTu6JENf7VwDXUIuViZRqbhEJoDJ2tTxAeAVA4fkFd2uG3YVG6tFUKannsvB3xor1ccT1zH97C
DTAPAP0JrkEEckYUclHcnUijZpUIf0gIq/IPoc09u43LdmfE/XAvCAmwV8Hz+XRN6yZxK+0uN78s
+J6bx6uVcnwTjC1ZsNNaa2pYqwbZSmpTesVzKEHK3O5FVIIK1Z3FHTkKy5401b+qhgRZ8OXGl65i
GMzRuiyKZB0VfeannLaOT5iukbrL7NjjyN1UksdCSrEF3MS8KkJkTUTRfCqzyZ+HvKioEd3EGWoT
LjEEvEu9+bbyGy1rz5e/0QKxguDZK6uUz+HnKvswKUw38i3Z4ar0VHIVZuMhF15RjbZJml6D72WO
uywjAiD3PtLwkZADehJrZaSWCIDXXwsTw5l6KynvyGLlwA7dqjyJs9Qn3ErtnI+wIyEaGde5nruX
R2HJhphbmwkfxkw3RROzwKQUvZph844SBDmw+VMNDQV5HOVSXAsHbfiJ0a+8AtE5Nw1B7km6Ns9B
SVugLxBI1nlck4enHFC+15GZcM2V0OI24nBAPWftioza7VzRP2b/MFsc6iiN9XkG0r60mIFmTgUi
+hfSfYDwKLki/BsWX1KVs+BAJIjU9uWhfd/R0/YW82vUBQpTioLCw0zsedH2481Iu1foMRS04mXj
lmZZPlpa4m8vt/x+ZtMy8BkNqLFhyEv2Rj1quRSqzGwcksSjj7aVg7fIP8hqeR1PTAKZNlRkEMQ5
XdE0HSpWyYpWeqk5arP0zUylI0n5/pOB3npl3rxfF9C32T7IHpMQ5GueNmeqlmelAjO1ajjNGkLD
DhHHrxTXSPvLw/d+TahwNgzcyEn3wPedh/cN+ZJSrqoaQs4Gr5TLAzcYarEoHw4dBJ5UJVeEc1ds
18+2qABiogKe0oQlvVDihV2mLWu+CIT+lzcS6LKaaI4kVkF8D63RXOGMnJshWCeYFEKY4J+WdPEe
RwiVzC27cdXyXrGmoi7cwqi77D+YilgQwYSXVJWvthjLEDE5NwrGciqNEq1zY6E5GsqVVs6NH7hy
CfEULiho4k+/WG+g040DWmlQCOiUFlrTPgrkajMQYyWDTyzs8hQ5Nxkt0UI9wLWM3Wxe+2+miJ5X
mj+a8xSROuuhzwCDOIPvG8KmTbjUrOwkS0jRvNIsxRAZRRVqxNKmJLfahDswlceV5KfPIQk99KEx
0pWpuDbrbLYkFpru6XIXz2xfHAxAyCT2Sozf5NMuTp45KRoiURumABWdkuHt6pF4q5JG2zLxTKIQ
irpTFQSPK9098zWBwJJthsnE5qIuLiqdHOaBWbLSa681v8sUXkecxVK3x6ys3frUR28ud/XMapgv
ZFizKBJH0nJrqXurQWOXkMtCHupqkC23raCsuZKf+YqGDNFNl6AUgX5edAtcjR9l85rz5FgaUL3H
dbRT6loSt1ImokYOI3G8k9D/Bisb2tmWOQgoYcMsEF766af00P0PDW5gdmS2vKMphvFcr2ZtECSp
pZ/s7Yhde0o5vZWGzywT2hO5XQC7Rt82/2JvlklFybtBhSkDGxfDsc7EbgMJVniwiKCs7Ghn+gj+
T8HAhKUy24WfNlUmojz1Wkp1PrV/rlAhLRu0isLbkATSQ4FM+VssWWu84jMdtGY2PP5BGhEUcfFN
KZiGwdyxSEIJgI5YIUeitMXb+SJVCh+epBaaDwuXDWxvgGCedjCi6Jx4Eh30AAK5VoOOqS+1Nd7b
+6UwOy6ImKxqEN/0JRJQ7ExcPEp8YAQAAndxH6PnC6Ju5Sp2ppWZjcf/2D1B6C+2z5Z6lTTTLJLR
BhrRQso01DqB/uFlzS2aJSfDUJRF6GenIzaIQTdwfUdkgWgkvauA6+RuXgnN2vo60x02Zgmavcgh
x0w4bYiMkupnxE/tqYdMGqZy5SBYXCEOv98VXy1F4WVhEc/1Z9EbmQtLP2QEOelufGTzDMdNWKP/
KAaq/jdUWBfj949OOWC8mDUiUddma5XFvhEi6yZ+wI1ZUQqebIFZbItxGNzLrZzpmGGyL6oih5vO
O+909Hr4rX4VlzzFrZKUYRIY15jJ1FvTaAOnGPw1c57z7fEEwMiU+92Sit/JYmsYxHWQIAg1+T/s
RMmuej6VNpEY5Q/tUCm/LnfxzAShi9iYccrA/H/39IaPT9UKAzkGWUjlbk52IW+mj893mDwExjRl
3nWtBWjYqnVq3Ck6sNtE9O7NgYKnOorHFSPm9/cCQlEaR4nBWUlJ/GLtenoAbmrGZypY26HUhspC
1Uz/Ccm+tbN6kxrc2B9I4dVNurs8jGe+HNcteIEaXoUSsZTTmdKFYliWGJbYua763ygB0r5RmqfW
2yQH22HrMZKi7eUm3x8rGFMwlHMmh9NzeWgHvZxZPS7atqdk005DlfUjEchIXgsyz/N7jwpeyc7L
gHju5YbPTBkTrKfJAjRZf0vWLL6XXGDhDdodtKrbSFNTuy6K/sP3WLpnwb2UKbgC+b04v/JioJbf
RPhlJWa2o67RA/ImZAZLIUlSbWWCnps6HM1EA+cRRTR3+v1aBUssdKq8S80h3MH2QluXhAJUes+I
buARjjcaQbudwuX688eH02AYcRsxmT7aPLXe3ESMkNi1r2uo/xEz3UswnzY5TMWVN+q5CWrIvIm5
Q2o8VRd3ZphPhQJxHmWyHht2jWDhhzJA9UR/W+6pE6n3/0GveEoDuuXZw1Z92qsJnEpOiSCzU82L
0KXKvdCReQHJWpmNZzvGK3++fPD/zcVbHzIVslAIDRBcPGoIcAYmYVLn1pDs41QT68eJyp+1SNiZ
RmeTFN49DCZH+OJgmGRkysVEnc2IYxs5Kkq4RnTwOVwbP03dy0P5/ibH5OCFqvFO5VRQFntL2sdU
2YLVoSSqobjICaehTL5R+2WUAxXiYy+vvepefVFO48GzZQovK5Nx5faw+HpDagW+TmrCtlh26Sbs
GvGmHyCIWWGT7T2T1JEUlvUuQBmJB6BAesr2R4OEYAojb2XqntlvLMAnbOmKzt6+vF4GPcpM3KFy
tDWVv8FIFwmfDyn+8iif7/ObZubP8GYdRnqTdKKH+403TYNuV+0M18IqUtWcVLGaOy0NhIPYk18z
E4i1RUIqGnC5iStPJK74VJ2bX3zxv4wV2BkWqzUHJucZKl320Y47KmrVF6UqYyRhon/sat5olzt/
bogJfnOWcHLOpm6nfVf1CW8KsIy2oSkl3DUqiIwx7Vd6dW4iGxiJS8DxFb7l3Os3I4wyWE2GlncC
CL3yuxf55BFL2X/GeHvtKnC2Q7y5ZkI52l5xMYDQkREISFw4KkzEXa9CEUiiJli5cJxthaISNh5i
H+zfpx2irskrZGxTsQn2Q3MLpkhtXV5aVEBf/j7nRg77Ho5WAu8EHxbX+IrLvUlRKw0JjbgVUKa7
Rt4ZDwUVw5/+k6YAP1vzxRoP8NM+pfVQN5bARyqGprgzvSYgw2ki40VN1Edf/oPGcLsiBMcVW1q+
wsHZBNChufB2JGC2bdtgfIlC3O2aJN1eburct+KKxgEIjpkTftEvNEyqXqeEbhRFSx9AWZi3utmZ
K3vV/FOWGyeQZGMOD3FCLFnMWdLpYzgx77Ia3aTdohU9sDn2TwERqm3RUu1zuVvnZgbBPiSKqJXI
YS2OP6WhaDzVSZ3B08qcaKI8roowCeNeH6x8rPd9I1qiMik4+IhkLPvWq5KV1Giq52rqahd45UNu
VkekcvperMJupWNnWjPhLmOfgOfLLDc7nYd9qwi4jZNe13pBP/qpJXzG2onSHamd7kH0eSv3zffz
g8i6hHEO9wiZStfFWg5FHcG+kFPUTo79eyFNIzE3uX+8/LnOtoLLIcuYUAY5z9NeCUKnDxN0JhRt
EFjVzq9ukXCueSqdGbv5LkSihccBQef5z99stITrqY4y0dVn3djdS5I3Syao+j2qaa9/lUsv+fPh
bjEFCTLJ0OrJ8Cy6pehJFfoBTwIIY1zWU/l3mBkf9KgmsMB7QGVbYkPn8FheKWUB2EQ2dTzvcgWK
bg07huiymjlIMShQE/lmK6v5/ddiX9ew3+RNyRVzmRAsu4IKnM5Cz5eU7bUxRd6N2PZK/+HdnZIK
0cC53GB3l83F7m6m6H0QgMSQMZp8k8bpyzRLzSo9WrPBetchXZF4gRsiT2QZ9/LFooL0WwmtSCGi
VI7h9zQXik3cBB+Oz9MKT1OuE7NZAh06nX4IQVF7G+CGK8pwSzvOTFA4/djHyk3XFsj2otpCREed
PIsf0mW5mic718952+BFzg5CxvH0N0h46cwFv6iXqgStTFgpwbUaaulHz3+Ok9lji4OZk5mt8bQZ
ETx8q85hPMrCTNdS+pcMkfH+8tqa79onRwoRz9kuZM6FW/P/nTZShVldNbX+o6VGuMiFBz3cp6Kx
zSXZxvGGCw5FX/g1rMzJd9GFuVWKjQjrqjMwaPEN0RJC6x30H0N7tALzOu02cu45iR650/TtcgeX
TRE7Fsk+YJJDxJUK6MXmEcKVmJCGUhWsD/4ttBPPafu0uxLgrW9EnTo1InvB5nKjyxny2ig5fnKa
MleMZWgvgjqk9fkQ2PA74gfqA5LNZI6me7mV5en8Vysmd15FmY31FuuNJLQPDpiuBZQ59YhKhDkU
C0XJoa58TTBxprHZLIQ6NDLeWGQsdv0qz7Ep02Y1YuDRVl+YjxxonJhD431w4tOvk6YWE1/TPc+Y
SpqiNrGniCH1dsBVPnplm1sh8oM3BnE1dpLFvti2UoDyHjojm4y268kak2ybjO3lb/R+JpCdpQqC
fYpoE/GR0/VFxcEUaTrFiV5YFLxi6wDCYvLRnZfMz0kri1XMgwQmwMDjESCoZ8PN+i7G0vfLPXk/
AQhHgGbFnGPONhmLrzIkQiP7Eyg1TIv039IAzyGhQHfmShhrVkmvU/fttsQFg8YIEZAtIb+0dKjr
YSSoY0cWiyw6FBnujALF2kZ9XQlpeYv4Nt82etvugb/KzhBG8gFKbrKyN777dryR8TyRUG+Zcw3n
osdpCWE9DYxvVkgFQAlm0Rn0eO02dbYRFB6MKRkbXVw2AvYFjLD/PR7L1NoopaIdM7zqrN2Hvt6s
iFF5CJFCoSH8TxZ7RZskgxXoQ29jhhegXC7ML3BTKCFVo2Dljbfo0V9NccvFqpUcNnaGp1Ne8Yww
zrjc2npK8XdNB902EaSPbRKvrZD6ee0MFphLJcKU52CksoBKm0CGwEZF9LUiTmsJu6V8769myC7M
5ns8V7XFuMHN6cifCcjoO63aR0M5XkORa2+11td2AQ9mKrsGjUJM6rf6GBMVCqVb/6DBbXH4pGsL
fbEIX38dnVTAvAS5EL+LR5qZDEIPVEQ+Doldq3FyNYAz2IbUtq0Ycr/qwt6swde2kMnJTByS99yN
T7+jqqagn0e+YxBVn1uKe0BnKbvJi/cgi/daXv1ow/5HK2Gfo3qfMq39NpCBHrn1lU18gEu/FqeY
98rFL8RBbnKgW7NX7lItRIkFVbkmiHxRqizlJYX/Gh+zmiznPezMLN7G4ZTKjzDhwl9TCI16Ra10
ZvBnG1sRqRKCCeB7pwPiVZPcgv/sbKRhMHz1PHfRDxduGUSJe3m5nllDJ03Nv8qbN1YpjXIwztMu
aHThEDMhrrmMth9fqbRisUZRss1n4WkrFWWtXpawhtrJD7ayNQjbQoY19R/0hWeVRAqQJIS+mEcW
LgsJ6DXmUR5FP6iKrm+FTtAfL7dybnIg9WBJEB8hd7vYdRBc+EWXUlUdh1K0w7I1MKgIkfyNr/rN
tVhAdZDbojgqXdR9+XjTnFGoytB6vF8olFZnUp9SWqgQnLsZJK1/xhdBOFDqrd2nUOVAp+n6PXv/
mjbw/TRBOM97C7kSl2m2hNMPKPSkdoQqgt9hquVNFGf5PrDqtWzL+6E1yQDy6URT5IG3jNcHYtnp
YpGONmV5j6KuPXeq+dmb9GMHwQVma7M31OpjshY2HyKSMrQAwqwyEt3FsUj9Uc+zOxupPAVW8M0q
AIPvC0kJdQfEbBHAbKx9kjAgOqOny59znimn24wpcW6hZyD9gqRm0TTiGYrJYpo2dQTZyuBFm7wI
yg1eRxQ7NNVa5GH+ee/bU0mFoElGvLqYuaM0eaovw8Ope3AH8pBGXxPf97borCOKG41iD4t4zf/v
/V42pwORKCErZeYso+UBXoMURsNXBGgkOLGYC26s1ta2gK+1spedbYo3O0WgsAw5sU8nKaC2Cb9G
IDOQA3uZA0SMxY1nhVm6laJJ0j92a8NlxuSsRlDBlJ1z9YsTWxionTY1KjC0AXaHUMG3KmKM0z44
SWalOk2we6JS5GV52inLQ3A2waAClJea9WbsgyhzEz3QflMbZsJCK6I1n+F347hocjmOCQWAJo4G
DqWehSup8UtkSI2blkm30rl328qrDB+JA7cr8tb64lwIpjEQQSLBEh3L9gCrJHWoDcpW5sX7Vohr
kIUn0cmRCrv9dAihinaRUVKlbMW1timDboLYpE+7yx9qubq4u7CqWFfMctmERHraCpVZEp5PKF1a
zxMfB6vDNMlvD6NidDYGRMNjl6+lh941yYjxcJll27Nqe/nmSyRDGZSaQoqwriR3gF+uOVbeCPcS
ZKU7y2xmXt3YbC53dP78b7cRgmIy17RZdkijiC1PO5oMfduJMUZQzTa0W6ff5DvlRnbXQhvLTCab
xmk7izOH22KrlwntFO6Pp8zFe8P+fbx/vtyZ1/fIpd4op70Z9Dqg8o9W5B2CAhsvj410C+bFxf/E
0Tak3uyryj6Cz7fHr5fbXj4+3/VwnrhvLl88nxO1mi21hL3q9A4iePuXcWMcP3quLkdyXvBv2hmS
DB5ERjvqg7crKat/QtB89FbmxfL0XrayOF4ox48SYe7NtMUbxAEc6GROsbKW372Tlq3Ma+JNX5Sw
ktRo/l435eZn7Hx+0XbPT5/WnDNfzX0vTYvFtouQORmlkGbKDbJTB/6A/QRs825yjC/wOw8rM2Ge
y5eaW2y5Fo6VbB801zs/gb7avzL7+Mf5tHLhkM5sGG+X7vJxntZZbYACnXsFAcshWOTgGeSYru4+
777X7hdYQWsfbGW7WBZANaZSWMHcZufysGOBhZuvk/3ry21g39fuM28CG9jmysGy9v2W4noFSIec
zN9vdH5OW3GHI9am3ga34cGzk11rr3y/+ay/8P3kxS4Sq9RQUl44dzJwUv6n2hA/HeBsK8O5PJsX
038p2VEFrIgCMpf2rGi3O49SiLxqj11srPVpba4sNg3TiGozmxeaqX1rvX0IK7mQMTvLYlAkawnn
1zjbpQFcbB6RKcgawLG/BjC5w6fBNbZ4wDlfQjd0/1B0z0Ys2n/Wevl6/7zU8GI/6f0UL4GShpVP
8rF+ym/Lo/LTuyfcCHa7eB4/Z8fwTrnXPq/MmLXhXWwwfjOEej7PGIU5A3mB+dntueU5nm04xSbb
+K7pmM6aZPtdsGU5gRY7zShncVLPC4ME5DbcS+7n1JnsF88uGN58K9ur5/i5DYCEICL+uVoOHffp
jl3HZpqJ85TFhHgjsT4U1+LmoDrWVepg4fdQ30O03lU79do6rIzyuX31bduLUYYnMyYkSLiruP1G
f0q2wbbfjm68rQ/yfi1mdu6Tkk8gaYGojqT44kEQAaqOxqqo7Qr6uyhRfQueSh1f2qxyo+nhcteW
GwHXfuKeBDsUBZE/ooXTUdWbUPaCRJ0cQWmULXwkqMpSFeKxNk4re4662NxoCmUniX5qkEwDLtZp
U4kp64Pc4ZzlUaV+lVtZhh5YSVb20OXoza2oZLB4DczVssu4iopLNX6Q4I4aqnLvgE4ax6pLakcc
5fQuKtL0C6VM0v2HR5EIDs8qLu0kQfV5/ry5TeSAEqq6wKsRw8liA5eVPVVt0gdw9cnaXJy3sLc7
DR3kDUfgBiG+RvnVYh3gxlNNliGMjpF1meXAvqi/AH+DoVRpuRJ/TqSuAfiaGkVvE9muBRs2Ynqf
RKP3pDVZkwMQ6LruUKa6/ICapMRjqAoL0y5EfJMuj8u7yzc5V3JjukSoCV0YuavTgVEx0cgaw8DE
Uuo6PEeExB/ZDWHWBu5Q4/MKBlrrhmiLw2n3XJF5/OXXlm+6EtnBaRsVir5W4b68X86/ksL8IL0F
6hUfo9NfSQDSFOISPzhYLMSAhhXZxowi/U7gHxhBX3TmcSxkjt2wG1autu8Xm8JHQ55GPJgIvbI4
nSC5Cv1IdYhTNeaPEvHGlwb40B3EzTWV6JmW5koanTQ8UQW0PKed9OvZ8s6SJ3B6kY6UglonNx8j
aKHkqV4uf+T365oQJjEvsAHUaojLlLxviEOag7JyDFA4m6YaMHgq/ZX0ybtHDp+NqkoFSSYJZI6A
ucdvlphPckKJprZzPCHw7AFHUTtKfcVmQqXHsJ3yjZF4yUYWI/WGbH7yoqWjtLKDvV96/A7obuZq
JWRmy0jbOHW9n5esLhOWs77xc0/4pMYimkCrgYVzAF8MyuXDozvvYxT4IPWRiNSf9jvVglTJE49C
+zqHgDOq8TZNDWX/8VYQN8/JAjQHVMqetuL3HbmpMerAvODnCQkJyjBm2h8eP1VU6IhEZI1c5es3
fvMN41GJjQZhiBP2RXaTqLXkhgL0mR56qJu2g7f9aK9mzQaKSjIgzBx1MWfkUawTvGjhw0+hf4xy
YTp4eLKsPBLebyimrFGzSadIub0THVL1S0pvNGsHf9jMFUX4NwmQ9r1oasLGTLUeMuxQdwdPqP8t
yfqvX8N/+y/5/V/bfv2v/+G/f+XAnmbZ2OI//3UT/qr49n+a/5n/2f/9a6f/6F933UvVtNXL326e
i/pv2zb7/dyEebb8Nyc/gpb+/Zu4z83zyX9ssiZsxof2pRofX+o2aV6b43ee/+b/7x/+7eX1p3we
i5d//v1X3mbN/NN8fq2///uPDr//+fdZm/pfb3/8v//s9jnln9k5tOyQaM1fP+t//8HLc9388+8w
sf9B7hiUmsTxY4nIW/7+t/7l9Y906x/UsLGyXiuV4E2wsLK8agL+GX8E8gKdymulAWXq/Aqsrtc/
k+V/mJThsAkQbJc5SeS//+8vd/K9/t/3+1vWpvd5iGcZneGaxdJ6c56r8izpmCNgyGJQyi6Xntl3
ldyTxdh0LUVhGyKKORYFkVy13U3mh3L/WZj9+45G0guKjQk0DtxVLqnjT21s1J++X3jGj0bCOneD
kAxXFEXXwSUnlF4prVOMmHTBVBOyxybHqXsrFkUM1KmJLAw5BuziA2pFxkwCpGRiAEmmvQfDVSla
eS2KuYqPW6oYQf85kwoNdCbo7L3XzTeNTRdr06ACxirLetN05Rg/JTAT44Na5lW6VSuj/9NjYvYD
vqJsbLEco8h3NPQNJJPIJaB+O4jK8LlCA+/AqzNw9czvBEwQN3Ha9vzV8AnJBPR5qsXcemaWG/74
E6mycjUNAubRvucERofzdYOB/ZTFhNtC1NMFhjG7KRKuiKsXV3GssTL9uNlKeuEBLrGutFoDih1n
WIkFBl7fivpQjxMuu1VR4kzd+5suabrbKeZyitBYd8F1P3iIRW1c0smkD8GhCcbqU4vL3sbsfPOA
CEl2wAbhoqw1L1kqDRCvjTuyXdWh7IRjYeZ/cBl4ULR4YmMFtA+44kvSdlhpcyPeYsWRP0iJ/NPC
oQUcd6K6qleUX4o0rODupBkVj/FPwTd/UFiq2MzLfKeL0y9FD4Q7UWmLjRxGpa1WeEnHJvI3OQ+7
T7HVfhtZBI9FQVerV0PkzMcBQB7jHyEzYB8WeoF5mY47Y2XiOOOnCQUdRt8On0OJxMTvfirjJ7kT
Qyr7e6PVP5VZOB50C+zpseZGp/z2usREz5DnsDBqhd1Ovo1CTJC3BQbozS4SQGcWmLCYGwu+VnAM
WtP4BCM5kwg4j1DVwb2pZSj1ANwkc2xvzEYN9HtjbCwz35g1Ncfmn4Kk3The+0ZbW/J9oIIyo4K7
b0QpPNYV1d0uZixduaPOWgk2qj/BzRWLfLzC8wWTBF+opE99ocnPxmSYjtBMw55NuwS3qFoPGPNV
+5CyZEfC3R7/m8YLHD1s9G9MW8WZhBb0M7JKLFmov98HcVXeVF5U/FF8pbEzHwsKB9dO/dhn/ggx
9BU+nBceVatPJKwB0RlR7Dlxl8mO7/fhrTQo976RA8bFsttpTCx6bCvVQS7OTH8+ANag3VXKfmEe
ZSkZC2NXl8Iw7evRKBxcpoWrXoKsbVrNACZcw4MNo5GNFaDpCF6JyfUrPbkuqgiD1GzwKJfCRNv6
aQWlhwNNB225DzzIyyqJu33rAeYdy/pLUOXaD6HHlcLEGYKKZVB9W/Iewb2a67g2CYK0sQTJ2sIT
F7dqWUEjsPzCMT0T1nGK/CnIw29ToeHE1GTlQeo1wa2iGckZ4JViZWH8EEbThEPcKxnaV5XIvKtD
nKsr1MyHwsfpOdawyTTFqt/CYYVUDdv4Km96xe3zxrwxZ96071NlEsPW3fBKZTAU3wK1Nv+VCcwN
Hr7Jzox7cwezIQDHBKjqipoNcyfmlbkzZaHmgNZFJ2qxtq3DwrqOJ8u8zTNVcXMrEveiGkZXfdAL
VyYl3l9CTWxwoYEfXtdVshm56dXA1T6JrBM8vGdW1kzPVkfPtEXr9beynvyKHcvuOwvzBj4H7YZN
9e31C+Z1Ie7zYVJcWI/8BEHvX6oBV0WKqp7jfEYP9apwrDBdOfhBNnw2ccKy2Xu9u6ZRakcCUecE
VREesBpptrUKxHKm+WwBulvUvsYTgnpLwXkmhM46jPJdaXT9xoRy5ISFNhdr698xG4meX9vPwS9+
7Q092cU1f0Msfev2dQxzPx8+c7lvDiY55uHGT7TgK859/m/eF+ZNpgTKb4zVxAfcA6Ln2kgyt66m
6DmeCeNZ5k0/hxQsdmr4LXw57BMdjTff91gShkPjw8E26qH7BNVUeApJWOMWaQG1R14HjjAzr3uJ
LGgqm/0f0JD+TVybuLtLEybFVWYV5ldF0/DQPBQejOZ4HmPkeSz1V8i6MugFyPWYAgfctIkXyAEl
rEXbHMlr11iPGVp8wDwm/lyHmnIcjHHYNb1+h83Fp6aMH0c92w+ZMrm52W8Crd/JSX3IDEC57bhv
FeVnYZq5I0a+6pp+nR0pk3j1kb5D4s1EN6V7HAm+YkKZ43pSIlXWubdPqVTvJqERXLVrmUwjAL+w
asD6+HW8VVut2Hi5qSDwnUysNEK0IKEFItwM8DlS8nonBlnr6F2oYHdowKj0NX9fAUklE6+n4Brr
5tkoJQSGbYVtVT8+oWUOGX8gtLL3o628X1pp5a6UCZ+kqi9vOUss1MVjtkfbkG6i2cqSusXebafA
2nSTmeytJta/DDkWqnIw1d9GbCk2RmcIV9S4CLs6D4JNVknDjvzXQbLKkY1bNf8MYr2dRmMvgjZM
xwQQsxJOjzWe11dCNexqT3G7XlfcYpTiO6yXjJtCGwLX7Bvcbo3QvBqTjFB7jBIFQ2SbcijMAP2I
h7o3IrGsj2UTfS2baVfoWBTo1BntSBBgNibFv0I1HG1Dl3CJpU70T4MuysZjA1frGikUDhYYcUnj
fmqFctNqRroRrQHJpm7hxNGbW3hLB6ScMnBhPcHAs9B4n6SDm2c95gRJwDaoGcKxE0Hii1V7YL1G
O2EY9U0rFYfGmvfqPCD6NGbP0RgOHIqN8tCrurLjleVRQo19QQpF9lGq9d5RoHZCxU/MT3llyDsf
DDGVuh74CCEJB9fH4tytRcmY3MRQs32nS9aD52MakfRm5IazbwLZv9lCoQjC26lOkzuLFNCWvRrn
V2kUxIfK9Kqv1ajqJRHFsD2YuEC6XEjNCKIex4g+ys3RsLzfYWeOtx6eLTcivhxwxVXAtkWRPoRi
mTtTWeKUzSG98VJ0yBx54LA9tVV2lREzX2Hw3npiVm4rEf1dWuC/xtaG5oz06/QjszJhZ7Ra5UJ7
qZ1p8vtD16X6cQRKsMUOSrgKUzM+aFktXSl6ZOx79qvfQ5sXTEmcS6K86pimfnwtWdUEvjWTDp2u
oiZHJTo4ALms1CW4MeHHZCkjpOtRxn0kRPZgE/cYXT8UeJzLemBdUyzsu0ZBrqMgcnGThzmR1ThO
tjmRKUwUxOpT1ocYESncGHVz9J0iNsYfsC0JOiRy6ONkYviPvA5619C6aZMNffASabm26bM2IjeK
2wf1KxqTYpSwvUgLDd0RKghv6sf7opeth8Kr5yv0sMXnRrgF1Oz94gfH9xZWbJumZP/vxGb60g3j
TvfUxtbBZh6m3joq/ai6ejyOL76c6r9NINM7AVPCkhoqbGMVdR9GHiY1GBzvBikCeNDrWAcFucfD
PuRMMiPvj5Wm4UZPDIAaYfytifv6hqhv/qCCKnb6LH/Cgi/eFHgGH7MqDj5bXBldorvhQQfP7MCx
znfN2OqbCFPYDeUtfzjRHycZdAauC+xoonnbWe2jJ+J/ickpjM4ev/Z9VXGaeFaQPqhguWxuNexq
5WB8Tazmc8TV/uhr9W8DjykRN27Yx4LiZrOUM+lx+sSBZNIbtsus2nZy9FPvI8tt/ejZwBZi2+Oz
aEtteVexxqjSVFWb2gJOWsxX0A1zcPpIBaBP4MApAjfddI1xA21JvuYtku4y2PMO3rvBEwE8CdoN
qIUrnyiekxdIxsJCdqBgzmZUeb/FpCx3K952OKxnxTYU5WczSuhfJGbPzTwjuMQTRwwCWwhya++p
YYFNNo7PLS6eVxS54aEcgXeqEqs7tlCInFAcP42Zqe/VEiv7kMIlu6v7xPUS9TbT9GeTOG+UqfJW
NOJpM+IB60CKFbZ16em+LSYxi34qHgWDO6Xpm/NHfVFCE0Bkqbf3fg4LuonLl74WuOgC1KRWJoP3
jQPzJzkw2ocOMx6gNaEuHydMAhytNCMmW+s91WUhFC4XLH3bc1vCAH0qD3FYqTvY95UzJNavrsXI
K9bxFFVVvlNdyd6h46jbJwoWKkBmQfqXR0/txX2DJu6uw+pAwCF5JwSpf5QsdQatZLiGomXD0Aib
kkKoZCdp62k3E31tjm0l2/BI9w++pjKduYG7BN3ERy9QhK99A/C484aHMWufpalIvmR9ZauNWjzW
ghJ99qnX23VqpXznXVVvB1P8XVKReCQYxV5olHfiINxR9n2b4rXWm9y0MnzinKKIMtSs6XiQcqWy
mbg/4yG8FhnXrx6SX2xmSr4jxSyYo1jHWMcdqvIwyGggY+DMDUq4k5N4h7xLFmF3FOp1rzbZY6+a
Dd48EfZaHoWJmF+I286amj2cY7zkMt+66jyf65mAB2vQ3hhWh2VSKnQvOCdWT0oopTAcQ2urCr22
Z//yOSwL74moW3abhPD3J9x/bvrZzsX3TNHtYR67wMcPgsdg6ogV73tDwcRkrLU7MG5x4SAPrjEW
bPobrYkxzpMU7QZT3NQB/NzcRmzOTiDg6AzrurwN5THdVcUgAsP/P+Sd2XLcSLZlvwhlmIdXTDEy
OFOkXmCiqMQMOAbH9PV3RXZ13RRVnbJ87pcss5QqEYFwOI6fs/denOKDTN0+GkAsYbFk0z19YGW3
XM+hFCu2v5qjxcG7k++AYhbKN30NK81ekcnUWRMgSn/PJsB+hFfibkJ1uEOwLc8tD/ZcEhxsbXMd
WG6hHXOrM1n/K7XOaL6uUOEDaMI4EtmzvwBn63dzlzhPgObV+3QazXPhkb6dLLNCYe4RAJ2u6Slv
yvsJgjBxArYRA2f/QnKevXdNYYV0/52gGrvpME8uM+usg9qe2nkX2+uS3PHt8qgD+GNuJKX5EFys
x60w33oiUhBYlxkoAGF6d03TbBH99+G9tWvQrgUcZiq0pPTJ4FBDKRs0E7NNosKMKNQiUv3U4G8M
XXm1kNSLd28a1fQ4uHpKAHBR6CH00fUha1Mt4ixcgj4Df+ekhTxzRB2j1kkdslG1IZT9XD61Xt0+
QDTgNWCyz950RrXt62rsTwY04YtM3OljXUr28brT9w703ceawZ1fAVmMFlJ2X0fDXsDsSPrrfSNu
yfPs3tTOFHTaQW/6aVkssYat0R9NK3sZsuI+U9sbk8N/mqlfK0sMzy7trKCEKxMLJqe7xku63bZY
z3kHPLC01vq106vuXOLN9Q1tzr90QIrOsqAIAF73jbRXQbhNsu5kb21n02p+qN6kndI5287JjMxf
M+WyN8plpJqQDqYyHjmvSIe92SCjtq7xLiJJv7do22BXJO9TN8hd1dc3PcevgUiW295ZmnvnyoVL
bLe6yqHleaTiu1f6JN85TBVgdgLH+9o0VnXm1uWhU7nmDpeBR6M3G+4divE7yWFr77aJehI0HQL6
nOSLW520gb7wsFzvEdN4EsI1PtDWoPMG5xWqmW2FW4b1lEzfrniYM3LSSeB0djPdvAAg1LzzGnxE
sJ0VBMWJiU1uQ0jcJfUj0O8lSNFVcmOy7igoh2IGkNTKgJ1Gzj2WziI0cHrADZqyCFLutAMYAvFq
hL1XFjK5LOgYwY6tddiAT/3arnyoYUoLptyEQO910dUPG2V11GSa8myPHE+yfhlDqTvlrrl2CVRY
YLFS8LZdS/Xgdeq453NlBw/hbECvoboxp6rfpeaY/1FtefWtcYQWYzup9kBQh93U1evbINh81NTr
K5+Nz/xu62R0inZzv7lWW0Ykrcv9Zo3u3iZBM15p27xWqoSCmZtkSeVy1D48qTYvoyuGiiAW6T1o
wlVvu61QvzfemECedQHKjo75Q9JOChklpWFbuIsPTb2JPUmHRociTQNlES+0oJJ32RTtBRz6SBKq
055TMXYkyzbzd+LcvxipCbE8zbu9HAcKGwvI4ldMmeaDvqiQRZdieXNzMbKFmO77lAOUE4o67Ute
3HWwwGp5GCyleJyGhE0YfmkwQy14UptVObaLtoVDl+WBKXgJtRmnZj9F+ADVr9VAfoGcOYGFyt+N
cq7662sntf1Jr4u7sd8cwDhXnKQ95C7FQ+9cDFsp19O8ebnYZbYBt60GQ6fDwDOFMxjgFXNeOgUY
bal43QEqqsZZLe28WwaHzgPdtvIGflL6rdI7mJgI80BGQR8Bv+pOX2otVcNk5f3f03MD/GgnJ8+W
Slitio4/I52PbZ4L8n/h93SKovyQAre/ruZ3Q5dOd3rtLMc2gTJJoE2+S7SOvbHcbjzNS3cT/cZz
4ZTJvcLPRlG6eneIzTUanLYbrLISNyJRkyN7a33JSs2Iaqtbbnk8Rt9Z0/HDoxASbfoO/OtdsdRH
k+bqWWmaL6OWPILdoB6a1ClULZLyHJaJm+kfdc0oFln4V1sWUVXBXejBTp1oLlZPo2bqVEF6qJbO
sz2T4O+S/oewII014Mj+zCgKdEXSRcaqhxaFrK8QSRJkTIP8lBl3U6TrzuomtngxU2Cu4gi8cnzs
FZdlMxBoA1ea7Q7WwVQ0c5Ch2j12BoTtalxf0ka+tp0HJInE/6GZ4pbTqE88+3QDQSCHQ1DvecAB
HmtKciNG6CUbTe6TozbOftEqSD36TLlmuGmYepkT6MVYHPDbjPt1Gdbd2q9VqHrlse2T8YZjEkwY
XJPvkwNGmmSVhWdNvzfabt53nhKbEwQvPTfSneg38weGi/7RRm0QbaVJa5Z4LSqFqgiMHsX8nC2u
r4wFoM7M0iPOVh6te1nezI1H77Ue8cF0VsMpEnCMVOHDOpmp3hXFqNzknUKuLKNfM+KV4t1iTcST
mk9PNayZUBucBMrnXF/xsFrQWUYVd3aS3U8j3QN1dpRwMIabDYYADwvtWyn79EAEX3vT0EuKnX7m
HGVwyO5b7j3GkqC3NeVo/PnNWA5PS7M+oFW5xviWgOj7hKqv63qIWdAuvWyKOtIMgtxajonUl3DA
6n+Zi/agt8UXAXJ6EsoHynElVHIdB/fq5Bc1He7VFQDX5IwrWInE2W9I3EM1dan+yHd37aHntNK8
0uLpggkFNYcoN0MFnrrwHa91e63HLbNMf5N1pOC/u5+EwQKYSYjFdh8MHCcIQFE6YuImxS89A9TR
Mru3GQ93YOoijyb4sQe3ds7w1+NBb1/nVSUCrcJNv3ZuAFDyy1DkbcTxIfGRULsxHNshtkq7Y7qx
qSHDiRuzaJ8Wq+D9hjWfK9vnhlhuH0UJ2uAsm6POcJZoq5cc7KOI7cqku5chbmqTRff1vjSeHGV4
kx5tOp3ZMXhmZ+GNqZ4SQFNBsbpzCBZyOJnu/DysXk5zq1XjWqivhWukbC3ltLel99RC68XIZyw3
epbDMOYsuvMMYRyFJR8cWzAdWarpUtEZN+gC4Prz2iWPrWaNPX36OmXeo0UAr1+0xY6dXoblqCfs
vcI9yKVUnygfi13ufd8wX9K/Ix2qVL0n6sgvab7cctAgngpK1mPO6HVlnnMp8RHEErPjjaloH07i
0GgSoQqjD/q42Hnd1uxn+CpHw112vDHBxkiWhKPl8269HgO8CoGUKT6msT5Ao3tOusQM21J9wH/T
Hou0Ls59zcnW04pQ95pvtpvR36o592j5xGgrMYdDaViUFwmvD6Vxm/NWFEdOSelxdlSx0xXte6WJ
p7TMv4GU0Y54krV9ORfVvgZNG8LfLU/piHHUoFQ7q3YJo6V05z2BclMEycS7XQ39w6in6rFU9eXQ
Kt0KO1SIe8PtJt9tMhyHGf5dDu/9fbrpVy6DfMsXXiPnOZ3DPHtiS58PFf78q9N33ZHWyGNht+lX
AYkEzGHDEleHIqDuOgDrRT6fKEU4WNPOaOpDNW9vtdTOQyrjDcez3xHRAJPjtpUsQFixZaxVxdsK
e4/7fVgME4b7dXmWvObWTo3ouu6AYz0uQxIuBaM/TNTJXZ7xlyZZn/puAJk3iAcmbQ/G0sdSzw7C
csNa10HXdEmkwagnNF2MJzMZw0Zmd9KDQJ7yqIvlUJZGxp/Kj7JaSN5StPehVg8WT8PE0tjNsrhB
dnVACfuIOKMKJrM+LkN6tIwyckzD37xSv1uKVvOZr0nfo0MZEtF6RFDrcZ7s7Jesb14tNBsZWb1v
3aLcWSUZadrwaHYZwKhNO8xMIqHCAGrfVvFKhP0lSxZfqceQV1QIQ+QZHiEWDAG63DYuhiaGSIMY
f5Besl7SpN23Y54EUBHNKK/x6+crsy5dycM5Xd4BSDtHXEvlcVIgx45j8orv3fAthQrKrmRoSyBk
QqZDVK3LW41RLlq25Ebn2GJNqhr1XcLewHNUeQ4T3Na7BfQJrLRzjqmbeadu0HJOeEbjfKEhZvkc
C3NiYMf5lri+U7dRxxFdVUQ1WkYYQYZ4Nft1vFscszgqRZ7fICQTdBKcgm4qarLKsHf0WfJDNih2
POrXSBQGi+LFhIj2bnYU7MNC34VF3lTfctvitE5dDRqQsYGxKpE69CJaKOUUUX7YNlDCGt0GAxlV
hou3pRP1FzPdWh2Y59F6yibTiSAP3RH4UUSNZ/D2pjQBBhU6A/YGSSc5pZuRT85j7qrlfnKWKTIH
+d0sSzoPDKnoWfgwnA/8ggHVYEtTXTYh+bQ9m4ZlHfW5ftBqe2KkocSZXF/MpDl2Tjn6UlXvbLmV
kQ41MKiT7qXK5B1yn2dGoaVvC+b/im0WYael/aHZepIDLPd7n0LTWxRV7qbCbp9kOzlH1yweiLc6
uIlnxLIzksBYNEyW5nYPsFZEdT+1aC230K7Winm89jaNqGLmThSA9Ji0mWp5b/GLOk5p+3VuUbim
zm5lMOq7NGhhig1BXREKtrjJpazTB6ehaTFgfMrGDMyLue2nDHJwgtmwldbXwdW+ymmpgp6ZYjQJ
3I99Mb6krfzuqVA7Eo9Rim1Fk5nmrGPjLpOziNtqYBRUqd/tMq/3iu1COHGYzzll5lA66NHkbh0J
ANUJqGuYytk+tE7xprQMI8pKp1QcL7CojZ2ZdVq8Dd2Dm2gcua2H0Xb623RxlrBPFvvct+TfJSPt
7anmrcz2aRxdAMYOIrKQGXR2HKfcjDeta/deSdnO+JxmOm6vs4OmO+hT90XziuHSiNKCB56f8F3I
yGnSvZYst4XJMlSvL5qEA0ZflBEy8IjJJbj00ujpADHBLfXidlYBVLSDCizPWZtgzvMylgzswUFR
KJSunvHUrfmhcmlaqzbpBArHAuLLp7NVmY/TNtnRYs33RD3QZ3TUl2EoVLhVwuQfbXbIJ/2bQcCo
1dY3RA7XEeLw6kZNzYoC1IP1RTQ1FbnB6aZWnIYuLge7nLZwQd/TeJkMsVQIaFLcsj82XSQdFCGm
9z4Q3HY6GK10ytOybDY6+m6ojBtmslofaNZU9ofBVTTt3Ik+g7wKyIxJVJ8qShFbA3TLkD56/60Q
WUWffhy2LxmtuuV+oJUEy51m5LzjD0FCj5w/26hy7TW74/2e9Le90q5/bPAZ+4hRu6BfXxOev69r
qy9jXOhTqvsLo5I2qNOuVcPC6hXtjPqDgtBeneytE3NqXEa8mOJBZyhGNc26L/PzYsH/fJj6xKNw
TXXCMyUapebYpJknY49xN817y5N2IIxuUomSgUH5qJZbWyon1LPbepkXGFGgLVtaWuiRhzEE18xp
AbripOUL5JV5MV+bbt7Uo4df98prXExtjKh7bPc2RzzBOp5rxfY1IOPhrBU57sLa9e5QU7gXwgnf
l866c3tgl+Y02UQdNfluLIf5AT87WpBCdPshSZKC5STTr3UxizulVKbS75tx04Ez8i4N1EZzDwg9
SJ11rKc6LV/T3ontIqMBriWBXsspTkvjzp3rDyORoYICBwzf2pv3DM7bIwA24QbshnJ7MXPpun9M
fa9frz/ZJ68Znmcx2mwwWaykyffMBMVVV87OK3oiaKmB++q8WrkWQi4dIbu1OaOQbGMIk9N1dPSY
4UV1GCb+sCnG7YBzqgr7zkP244zLS7dZe9Ev7SkZdQ5vlL2nuV5hJHiLfkKXmYXO9SY1QNdpffc7
UAbtYVi8dTcb4r1R3AvESjiVeXckfYgRaUmaZFBv3cJjaWWRkrKPkvfYB2rGEzKPjvacDA778aLb
qCNV6AGiWZEyFMlBmXrzy0qyJjPQ7YsYy4+WoiMcl353NUbvHdEVQTp6QII3q/jSCO8DTWJxkK28
tE5f7tppfgL4vJwmOl/3XedWkTU7fVzk6tdmbLIgzwbeMoZCP7rfRBoXHNAaP5uK9pvjcqD1SBE3
F+bkSzagdM2WqEG7xqEKtygBakeGdsYeLIIMvVUXkanN665KK5sqwXklFZaTMgEY96mW2Gi+Id7b
ukdEuJYA7IFLc+M6/YPZuOLJuYa/FXKz79H0efu5S52Q4Ur3PZlBmMy5l0ZeZy3MZgZtP0xovAiG
4CxRMKnNej2F5cqQgvcsgLm+aw487fRdXfeUI6b56Bgc0Nzf4C/P83brIhINmtKz/MRSkH8n5Rvm
6zoccl5trV48lsW0BLW7uBFj2McNrN8N0ErGul5HNejI0QutulheWtOoKWbQSB0ZeMsVpQX3HuV1
u4JNdL3tG/Iw/b3yKqu9Hz0Oh4QVTlqMYW9BLbC2xRADhlaPVlGL9w16MXqTiS96NsnWbQOlMr8Q
FZEzYWzFM8o264ToUeLbYMApt/64XbcsfxyS8sZ0RcM4rDlXyAXB19JzAW88wKGguNEGZdtTcxQv
RSkyNE/ZfNSHZDmygVFYu0l1pa+zDqIm6ecs6KVG1TU0s1CPRA/x9BmjXNwPDn3NEEzS8iIXUtcZ
QHTYmt18XOC0PUAbH46urPVwyRT7zquXNWYmUVxGovUfMtF81/tUv+EhboKyrpT7tqzvCXMSh75X
zEfGIjtaxz+IFHCBhBRne7LYCjfTvBdSkxMc5kQJNzstEjRA2TaeXDv9alTtM5NHGZI6GslOVQ5F
whFZz/OHpWSQZ670pngP713wfj+aDo1B6znBsLa7Qm/aYOm2+cAOEVsWoh6gX25U48UhQbsqzVCz
Eo03s13eIHl/nDxme2ql7Zh8CV8355MwR/2gE9QZJATCBFM+x5tbcu/necjv8F6DtvQa5pEjUR/d
WqehhUDgWRfQc1Mb0woHw2EM2qJXA8LoxoOWlYQsZHr/vBXli+HqvLxl98EBaHxAgofKoZ0fM7bd
Dd3VsvxA1v1EgyiPJfMWJvUPaa1mQdJ7DvX3/EQJWpCEyj7RyXKOSym+bF7t0Z6t5mMyqPw02shM
fLbx+Hr+3M8kJPvrAuHqnFqW5TNAd54Nwl1uqtmqYoQM+W7x9IjA8Y/Vq7fo2srn2vS33GKjDy5t
AhxJ6xnPTtY1ZqxryrtUXTuiT+Qe9CVXL65cTZ46VliioVOZexdpGonIgIgte2+gDiCXCchqoG2l
dtna8WtpdfONhIW3q4phjSqZmieGkcPFWDrTn9Tmo2E9hkLm5anrka36dZP+sLMcpVAXzeMS09E/
rzpPmtc9zlOLnI2hxb7uprOjOKHmTdm+NhB0GOOmUYw3OZA7NWep66SHOB7SDLuNOwYNA8ofRu9H
T2p7yUhOX8cqrAcZTD2KiKHQHr10vDi1ONekM9IZa6dY1CkCW7O3yrAyHRmlmyfORdEryHeKDDy1
noV90zFNTWcttLOkhf3rJvuhN6/BGkrM90X4lXvrS62NbVA5Ge187lI55Cmy3qL25VI8KAMcTqjj
zLc84XvWkvjjjKVr1qy7tp7KU9VYzLSYmOdJPZyUcm5ixKCAWpH6ZBoledvSqDRKdUL84L5VmQpR
dlG+G9r6CN5JD0ba71HZT+d5LpRYmawry3njeGi55o9r8/kwb84PrRhNN9DsaYxKSgUfTvd2aLhZ
N0kjQSv9H7fEv2XoPwms/6N0//9NEG+hIP9/C+IBr7T1+8+K+Ov/49+KeNv+F/kfV8k56WDuNVvt
P4p4V/sXOBL9mnBJ5vk1S+M/injN+heQIYMRFfEXqomF6X8F8ea/iL3hj4iquOb68Pj+E0G89bNz
iW2EbEMXixYUG4oFDHU/O1GsSe9XD3p5zFlmPNcv7cN4tl7TB45acbKD3hxAAr7QzV3O/QFs7GEL
RSwv3df+oeeF+Uf51Ol+HRynaA5pUuFFDx/PIqB+2WGjxiM+HLDHhliIfJVz9BZv/hqXH3+55f9e
hX+V9f8ZmfG/ov7/+y1MUhqv34JAxp+/BbN1m82Zb1G9yggK9gE6AP1X1dfvdBksL3Zc4MzNDvXJ
fPjNpX82Kf370sRWmbDgbAwF/FR/NUoN7AypRhsjJromXt4KI6he3Zv6xdV25QlB5WFz2TTCrbk0
v/Fo/ZcrQ2TguhhKCXdSP7nXc5e2iSuHOoYqEjdueZ4XZ6dly6WatN98y18uZWPKcGnwXJGWrMpP
9xftlMGYwMpjx8VPnsGVr6JULfYIfKO/v5/X2/XTL/npStdP8hfPkj2rUOp7rjQZNIIeq+X57//7
n8IU+L0IX7kGYHs8eNdc208XcGWRQwzjVGm2zDa/rKRV6vHYsHq+uOU1PRI1aWvFlkL80R81Bwn7
0R4sTxzKoRqWF1HNne34ztauw0nU8AWRFkuSu0wkEtML5F7DiEyOm/8Mrfjn52YHIYmJ3cBT7c+B
hlixFcEUv4jz6Xmt7wiF9BvxG0bCrzef54fwOrLBPQxjn6PYqsXI62ngGnLiqbGOFhbs39z+637y
8+/LQuJRQeGKIuwXV7J0RgzXW5LHiTV+QDiLDKZNJRmxczJRTJp+uWq0nkDVNb9Zw1e/869XJpH8
emWqt08PqtrbTgpjI4/tm/RhvUnuxmN+t+zmL7/5hr8+K9dviHmSbd3Vcfj9vIItqhRo814eG/5X
GqxnTESkxEzk0njRtkufvF1PwspvLqr/ty9H6PrVW05t8xni23hOMjRehbF3Vx3ai7Uf90m8HYuL
vVcO2m880X+Gf3y+lR4KFYMAVKgwn6PJFaXkEO4YeTwH9s48KrftpT+YweL/GKM5nqIp2oIlgokZ
9AQTVL/5ssb1Dv56eQxmJGDjcP8Mn3KS0sHJrOdxdrCPHV92OaEbPbjhuJ/2SlTeOA/WA80z2Qac
AQLFDYofxQ/lg87Hxb44B++QhghKTs7ht4kw143wbz7a59fpLFJ13rA2x1jL0GqnrO9hP2o7xk2i
8qfepwJMGp92W/3oFNSsv7s3/+35ghyoMxy3GYBfbXZ/3T+dpl0KI5nzmL7f3oiBu8e4WoJ570bl
RXlVXvPTeJsIWty+eZfcckg4AZYJ53P71N71R3NPh/k3z/yvu8rV9Me2RcAWWd6ffy40CIJOvMxi
kkKa7IZov/6h0Jxi+U0m4K/X4R2oUWyRd8DOon56SbVKlWS6XbJDtnKpwrXSCT9hv8v/ma/8uhWz
ERH+h6FdwyD92YE9D3pXz3PHha76mVq6wcSzEsht+12A4y97CYBQDNh4XeEagF75FD5A6AJzRMEQ
JO2UHZ6lSPeOKIgDEiV/szvqvyyc66Wu2Gr+B+/3nw/dX168mVYPyThIJbJ8/BiX8VZ5Hx+tU39b
Huk43JZ3TdTdbs/M/Jqv6vtvk2R++fE4kOPWxB4H+FKnpvl53QpqU0WfKyUaY3oSh+TIICf0KJ/0
WFzqUAQff79jfr4eIWVoQInow+V9jTj9VPdqdr5t6/U5abD89flV+hz+/RU+/3ZcgTBlw6L5QNA7
MsqfvxFzWJ3x5JrHa0BW0121b/+RiZxVSFgigaaEh6PGxRf56ZalSBE7Z4VlkC4VejxrY2o2zuIf
FmTEvlJj4sClVGJLca+b8V/WhUKrlUExOqBV2dLYQGt/QhQ1/sPvAmKPX55zCK9Ok3PN1bX7l6sU
ijGzOEsCBTpF3BBcmNBNqdrd3/8kn390Xoyqylvr6kxmhX/m0HnVPEzj2taRx6DWJ5qYMC23T37z
w/+3qwBNpsV5jZ8mvfDn7yJImoCvymBmSRwF2frA8x3oI1iM32z2n18216/jUvqTUkAGCj/Tzxca
Z89LE72vo2ZqHV/TuybYgKxAWgW3+vd3jnCaz1eziVzlQaEwvCaeEyT489WccsqHiqxzBiFpdQHY
7OjZLSLBcXVhd9Ywr3wM104dIIxkPVplujHutpRauUqR5qdqS0tsNXWvqjFGsQ1fEB6/Cfutka6B
cGb7j3EVxi0lqoYvpRrVXToN2ruBVzlj8pYiULIN0WIiJv0pXN1MxCR8bnhETGtKfbPjKOtDWkKd
PUrkOxD/DMmkfp2sJ7sH3eMXvavt0xo1J4NsgnfBBUtriWy50sYpRzkgvKFBv52c2lD1sMnILAn1
CsfES8EA1g7q0vCWR8NON83zMy2TY1BgyyugstFlDKy6XiQfpJzugatrKMJQmt5VCPWXnbaZ3u1G
JPaTW6L98gVEpdrPFpOPuEx99a2TaU8fzq36OSiTZHiwyRC/6RJ1ZJTv1KYTTMLRJgb81aDtuJnk
YOR2ldxKiTSLNpDWiLDCMMSYAjScRPsspg8jFYaDP2R2LraQUxNNs4mqgy6bjYSpgLW2FZtaxxZN
KCx129ReGj6UCDzOgV+SDukG9/HqvMWr1+XQTEYxYyDq64G/bWOE0UYrZ/908rkJp2Iuz+22McsS
7twE2TpuHW1YAznbaOoKmtO6awQte3GV5W1pyqBIqgKHnbAbzbe9WXztDEwu+l5bHbLSUrVy/mB8
M4gABA4tBMkMQA2IFm5HyLjFNgf4z4nnKenppezmSnJXbmMyRpmDqpgxqzN5abHrZ9F9K5DRwyXS
CGuJHMVb8QPo5Nz52rYuN97QuteevTcy/EfhkIYSi5ETDWbhKaHXT8tbVmKeZLanVhiY0Ds+Om7R
lgiRZLtEGX07mt+qwiBWNDNKsyJHE45Rt+6fCZ/Or21raWzniekkkYEAhfK9Yy+Jy2SIsXqUNaxA
H0e/iC0Nddxa44HzsWTbpl+ZjUS46jVpx9O0GV8crWleNDLYP3QyL745reqIsB1lbQSj1XKmcth7
EDzlNEVVj9FabxuFFhX87W+1XRd9oJDV8F3mnoMeg6H/H6wtBvFbk5iav7UeOum6HK8TJ31QsQ4s
VuYcxsZ0K1DzhmJhPaggbEqW0xquREBxv2bIep7VLixvT8BxC1CSuc+dzozF78brEKoTpdrsr+LW
keY6u5uvrpgww0wnKEAgP7+qkSZVBiBD++0Gt4y4LSw+qa/OY7XsUmXps8OSclT2G04o34cCNUik
dpXyqBojKv0hy1Ul1FvHQqgCNKnyvS1jGNEhqZuC0QPgusvhdIogadeSMKKVGW5UFK76VuqtrnNf
FudZn/PpTViFQLypmGqkKHU5MXs2ql2jVPLiOlfx3sCtP1u1VRAXY43js0Q8+kDwwqRxH21P+l2t
4rgi6348DQox577D++KHvshuDmZncC4F9gU1NBSPLnaqdMvymC1SIT6AOZ2VHbpMd3NUeXnxR0nZ
q0Y6uMIkZL3x1up0b1pDDYb3VdViMTNsl7RGlJEn8JtX9BBFyHyQsWVSI3Ma9eXRajTlXh+muQ6n
fFQQX7SK9QNPlekdcBBm/dXkjvoxTYd8DCfKjiaq0OwsIQPpgXTEvsZYwxtOu+gDJmIsWl4z+Usz
zEjVjA7dcTYuzDVBaTYWqo6ela4kOCLjtO27LXJbGvI7OmZMxAGsJVYwYJwkrjVLKD3NDK31wcmS
ZDekotTCUc8rbBOZl3/tiewvI89UtvqSoux+rHiiiFqaOzyI7tzLOSgmRKkA4hBKBu4kNHalbVhS
kqfa4VsqpWlFC6554yRXBH4YvxjGBRg53R/zlXCHGnboZVgUnV0EeMAJP7KMrk9jTDXbF28QnhYo
qwcT0ymFOFe90LVA1m7Fld2KkTIkrWS+wXWal1G3aCIjncDVpsBk8K6EkkjNBOW+lw98dd18RWGs
WwGWr/yPrlDAvPOkY2lHYZ8S6tFMCIdxH7G1z5hnkSumLjqvdVKHH2LtFty3eK8V31qJN6iyAkHG
nJg8kUReYwIqqG4/JDI0O+AsM/VBZs7o6HAvM2TSMWT1WBElKNXSbKyrjwhJls9wViGfZMA4FdB9
xoU61F77ZjvFaOCv1JYJOeBVDwahifCDqdKdExvKxMIQ9Wjy791S68qUt4Q3vaXSWNoIJxMqmAzN
nAyZCOExH9o+f23Hko0nQZvzkYAXaHit1UI7ZovtbgEqDdXZa46tFwGHAvO+pSH1tHnTVYDLAfCj
8Bp5Iim5LH2lYEWhMDUUnTdBPd8yoUamKQh5+dhEuYndzOG0C4pk9aYQYWSS+Ust8yfEHh0W5x5r
bugaw1z6xpya32qrcX6s+HMXLp1JxpUiXQykHj0FhJPhDwVrzb+epdW+e85GFINQr2XJoK0qefCM
fdi9bLGytOpB06Kq5dHF3U5ECiGK9qS8oTzYSG4ctNKIMzQHX5XWkR1z0xofICuueB3Nnp0XKiA1
h7n0xddpadl/um6jsuKbiB+TLQQ3Y0ajtx8rs12CDnEsckvVUv+wJ30A9jObePoGmqDk0qvb+NbX
EHJDRRlq7A2mLl8qfcMxXWPlNhmOav1jwYtWi2y1mB6TRXrksJsmXkl7Y59zaIR8M/Pk+nA4A+As
ZuT5+lGoCzLaQVEFtkiPpC5xwau+uCiryKuMJX2abz0+gi34H/bOZDluJduyv1I/gDQ07miGFYhg
T7GXSE1gEkWi7xwOwIGvfwtx36uSeK9JdsdVk5xkpsBA4+7nnLX39vikzkdVoKRkYZVfGPLmI+ov
nV33ul6iOFDRer8EaVMBbTn+j0ZnSECwOFGxLLVqYl3I5L6tDEhDkczBI7TgAsXthflJ7pTYwYgh
b9yzNVG4vCBGptd71UfZ+HXquSF3zWgH7ysdgewweD6z8mrW9XiKsYrjAEjPHnYBrBXeoZ09XC3x
2WH3VrZE15BJRtw2bYWnCOHLeupZqXwuR005bLdDlp20yodUH2HxyNBJSfPaiSEwtxWalG3iLvpX
wp1Wve8s01V7aTz3HWAURY1RgI8Hf04kTqlFMV2Njiwi1Ao1/de5kixxPQnAlyh2w0te9infO34B
HDmt6KBOZqx2ooOsvOI9CTvlgyM2yaHNkWBDM3MYsqeEQ8ziLPVn3wtH5zZfCqtMzzBKUf277nNr
eaKL7S1FzMHIvhgj5GzM4ftwOMm9Tpb3q6eneb9y+J9PLddfx7O+NRhLUOd0PnAr6NX11Nhh9wnt
RlIiBRgROQyZdufT0p8nb4dmdn7OiFwRBwgyxge6VZA2vQo9WKqSLzAGOLE5L8zIC+MyL4P8LrQU
Z8fNmWCTcjoLWqs6ARVxvTR7pZUbvkGpsTOlps2cU6uvS/FZB02Cg1Ig7BfBn5tCQzWrfe311HsX
tO9zMcRLlFZEGriDyxuwybPMVZ6UJiJpmU37aqWxxMG8KuopOqA3s4S/LxxZOnDeGK9Eh9LPl++T
awBLVz2uX7VKxaYE9brTkkIHsCsve+uaGbEM8XOYExWzgEsn3bUOuz3il1AjZC5za8xPCeFM86sO
Y4b53BpYRiBu8I98YIe1aF5Va5WeQnvW6Q0ekt58ZomVNZuTPkYKapQ+7ITJp/kiyDYCvEyBLC7E
wBz+NECMxxIkkqhibU2iRx2ir3vGP2d5trZQjdNkboL1wjSW/RotRY7xaWHP85mfAHDGQyXVBBmH
pkCeFmtq5+c9oxtycok2bg+DNotzR9drCj7hTdtjXwGhbGJbK2HB30xptQcndcR9gb1+izoqqQN8
+2oxvLlp2cANKk47F02CFOyicFYn38Oqj+JGlKZ2T/uCoOiHXgbqk5GVCe8spxsBtAZLluDNJTZT
5yHnRP8lt3k2+3XGhmuXcCTV14M9shD33ujZezWbERUhaG2JBGDW7oHuAJmapd/0/knlNiK9VWTk
obbhxZ4PFcZP4S4awcdRszTAkcXqWgR/jy3qBx8VLV+UN7Rglr6jBu6sKROqv66B2C6WZTpobhVo
jD160c4tm44M+FDABslQ5+GFrXAlif3aajEVgLF+wA96vUe6H96aEdOR0xr88FXWwTpeyImGyF1b
ePOXPgVFOGWRiHBFilRb7Zah1s71aLeTfegDs7IRSp3OL+68iPSsnNx2PjT12Ke7FPLZuddl3nyt
WzcH9IEofndyVNsXYqVs+gSrCl0e8HyxPcP+Ct25UqlzMwGyredTrdCy8H0PZcA+Kw0KRoRW3Cyt
ZYNTQjOG7X7mpIatlZNW706VW+1F3yUYR20hxN182a5WbqEfF6ihM3ti900XeiSffE9pqAdr4O3T
bZamB2cOM3mDC52TXgJowGpXcGRhLEYUEyG9c4x8dr2NjHvaEec0Jheei1YBHsxmx6y6ZPouEp+z
Se6FnxNryb09gvzpyR5kMD1YRduACC6z9dYlFNIna9QPr64VWpTizbJeVGFuladeOq4PbTd1fUz+
WfqmbQEAKqy68n7UQzsln9Vc1M9Ln2U5kZR5dx3lq5tiNVbS1C8hecZY0FX4ES7aFOe13eTv7rD2
VtxknWyf3RYTsb0M06C5bGtlvUC1FNG56VtSQ+Xa1RMlSj76l81oQNulM5ZPosGhKy5R4qpbGkLZ
UyWrtL1wyqAqz5taFxaw0RR+6Zu1/zJ1eGPiVFTgjqOl3SN1DgVY/wR0hxDbFgbMZ5o5j/pIdQCc
WbLqGz35bL2u6mYnhi6nuFiMa66qmvWElK8K56uKTYffNpRTwNm/dZ6yjczEyiUv0aSkHAEyDOD0
tcDbq0HloZv81o5U417AjOvharKoURCE+H2UXnWWaL9j1ofbiqs7sOcaZeyAbKCDbdFusDYnLQYi
dzVlBMxo0C7eicD4U8b0xOsinoCArUPfz2FPJ2ha2GjaXrjXJd6azmWeUsO+cmwrozMEVmEaq6mb
9BWK9+Z2rBBUxlh4+BR4qz+KcjcuqnkdVEoSk++SKVloE/acSVznnXYMwlN2RI3dNegvzvfwAPZ+
HcmzP3jsvpqVAPP6XafxnIvr3jPZdduPaKozL+mtM81JNMMkkGMMKY/zVOzDILFx46UgvV3cVq1X
BO/ZSu4mC2uylwCt8eOC1UJxNqUWNdfCp4pabJH2cBGkmoxNktQIzarcxUeATLmAAKhL+QaNi5Xd
PiBRq0UZIaOvgw43UNjiuLEzaD0+E0azvvjIJJ/nqcJlBtN4B7jcXvjArLSw5rMCrXMeg72u1e2C
WpkvwBvGPdCRaOlFZD5IVVmkUcxNR8aYWD5UJJbdk32eUlx5O6P78LWNUH3u0r5Or90c5dhuSBpn
gRR0dXG24Gd4mygr+JqsWXKPHD9JLgV4ndknzFZO18xCpCRA59S+9Mow3FHiDM2poqS/IMfV6IuB
+ODbfOrxmpJTs15kadRZ+8xHCIdXgKGK7rjXYldXA10+A7X5iKgQalOAIkIT+sPwNW0G+SCmYH1I
6nLlDyeFaIjdaHAM9eA8fetEZ1D/AqLvkZzY026q8+Hc6StRxSug1XxwkhbrwMCyX7yEZ3cYXInk
oZsMO/IUWPxD+TJp/wSTx3m6ClU1zDsDP6x2brg4t17Q9ECXRc82OSx99zD3bXin0qy+MQ2t/Z3S
dvkcLZ5teL9N09NRzgbQuCwJbjuvQLFlPOxxVB+guWkza/mBWy7a7Ib4r+tytCkCArnS6Qsa3/+U
V4mWp5NfZ3iZFCP0+1ADXMSRr9TtLCc2d9MDnw2YPr7naU2JFWZeah1aqGR3D/S4yWBLezMEDhlw
nCcK59WDzHRD2Z/RN6BKSmnYDN3m+kx5FYE7Lj1Of/zjrCxDI4I8pgclruQ44AyEQQwYuq2WTm2Z
WhixYDiWUV70aRGCpTYVxhZ+lMFnZPNXp/acLO6bNj0Ta+tnMeYn4qFN/ABxChQQsjLBww39uX8P
UotFj0DyhhwkN6EX4WqdvhWTGF6R+SPoqMcsf/e9dqF5TUjbk+4i89Jndn0T9ZXpTvD70DfGbTB3
Yn8a3hrlWS/TOPflvmxxqaeH7Uui6EPnSXabKQo8N0yncse1Y6e2RpYHf5b2DugzWy59kkmfNY1Y
G6K2si/yMukhHauEctxNkvC1nwXa4jzP10sfHrbcoSSPLioPBTuK3e0IpZt1EQc2bE4fqzdGzzTw
aOiG0VB99Qf0KJS0jYPth69ClKcl6GZcpap9HRZCy2IOY5iEQWz2C3o9OmC7wPd7h2e5TN0O9r/5
Xs1tdE4Y+lTEfshyHXuVqZIDrqXN3ZLbNdmGuuXsrCjA8/2UzhyqOe4cdYesqxdRO9UPbkBbYyx8
NvzezoJHrNvmx3F0wWhVWsjDyGGT8KOVyGpqZtzH6S9X048sC0E/+mDmNNim37LcpUXIqa94cOrE
PVReLy58laYnPRr3EY0wgyNstaIE54zEn78EHOkQxyJcvKnDMHrRNCbeu2QezlzX8sA/U43LgGvj
87CVnAc3O0l9H/GHF3XzDVC0eFyzqbqh/ZZcabk0EvlsNX11Ba2kk4Bd8mJFcvRD2nmFwjQXXntJ
kiWLzNoW66MKtX2ZNqFzbc12p2PLqtYfVhbyEdG5HZ7T1Ywv7TiH9Mwgnb9FJfFP1JgBQ5JcyOKK
Kr+CsqLxnO7QVs+gC9E6fMM4U/DREhz1jnDZ5l8rRvNkEB4BzDDxItJ5taPvQk98eHx3qosNS+S6
X7uh/SqsvFpjZ068CQ1lljksgHPw4I3Utuxq3XhdW9mK9KTiMLGzJ7wJOVyHGIqNuu3PKzM0nK0n
Vf8I7T74jM9rBCUwLfVjbg/NE47PDspwYephj7FfgKUnXkt4WyfE4+4bobFzLMo8AXhWA5kZXe61
u6xqoq8w3dhzWGFCm8NDmHWP9W33PeX81O1og2zdCwzt31ZPmadgidSznE3DlymyN9qXLHEJ09d2
P0VCXRX22rzWjHWbHcooFJfYknjnhTMVPfqFJn8qsmG0Y7t1g3uRFpTH+ZrgwIRdHF9jaoeVc4LT
HOpE5c+bUVeIrOTQ9Y7k8JtzRoixmhE/ltTVpAl1Uf1jpQvCtzoHCHDKrkjZzcOsKWKlMo9PKSmH
10D4xuXvm9rroCKhe+fS3QekL9cUMxqXqKIT5JhgOxaWlupQiKjhhFOyl1s+dlWH1XcnwksdTkWl
dpCKaFVHdwEV+tNqd/DXfETJd/wH8foPOQgjgKB1RdmGTzdi4Ua+CHc7lLGdjf5GSM9yNzN+HVwM
LjFA+dwaK9RxSNWGH2Qr8Dbsx+2b9QQtvoPjjMl6mJHW13szzjlRI7QX+M0Jcfb7iptIiBkObMuW
0eYi8a0TlNAGqyGCAycc8hCw2sl4ptfEHeJQUI5cs/rjCvb76aT7cTa58Z2E7NEBl5GPY+XHUThD
L+mQdHfogvBgytOikOdrfyOc4mIQTz6Jn7DiJ4z7D1gsY8eA+aAccBC8pE/3yXHRdopPHt1AxtM4
SYwncjrHbHenhDmvw+vV+lM84D+NiCMG657j0E0gGeHXWepUVXRALAbRmSv7J4sJ2KcKkcwfhrZ/
v4pnM/AWDpYbAZzWhwSQPtSTE434260op5+BSQKkZpZ18vub/5FzCGiYkbbLzfcldtofsZtiCISL
ZKU4SF2tj/aspmu6E8F5yAHzEJZy/peYz/F6VNrkjfDbPPlxDq3p23DOKg4drgf7Zik4ugLE/eGV
+sdfBW/J/xMkBtz61yc0Mu+FABIIiLUNUuZasPqSY6ugS3PWwcPuf38Xtzf0Z3CMOb7j8KPAunkx
iKf89XroDCsZlB5K921dM0J8smefAzyFA0W3ddNkVfqHn/jxo+GSZCrw60iH8YWwP/zEInfRJjPX
27dtnpy1Vk1/Ww9y79nNn7Ic/34p3sNjhgrAjS/8D0gETvyL75tR7i2cE2LRd4z9U3pdZqr+9OA+
vvQkCePsBKriuoTe8o78eiNZvPxF83P3VpLRjMsUhuKqdyiSfv/A/uk6Avqe15EPgADJX69TLV6b
Rgnh5eXseWcSmXLcInL8Axfz99fCIySI7BRWb3ii4MMn3C0Dc3E4oz2DB++eZT3g8Ga59UmZZeXX
Ed9e+uqjsf/wavz9x22B5pBLoeugD3A+vI1FFTr42dKjavy2O6FH45z3sstO/u0tBKGDJg/ANCBJ
P8b45AVbTYB/zT7DLvpC5gIwclb/dr04Am3bEkgwBeNV7wNaJE2ZuVVUiP0Es0M9j8KmKnDF/f1v
+bhecBXoQ9TaqD1QZrjer69DrimdRt15e+KCDAOTxDlBGYBljZfKfW3n/e3vr/cPTwihg0C3QXyI
G3wEfuXcy5nOJw5IlTOeKCua7oNNlPb7q/z99UN8stGAEbgZO+yH92BtgcHpcHr0cn33Jic05nSU
/fCYYJR2u5ZMoLIw5HD4+6v+fbXYyFVOtAEINQv8h3sZjSuh4FXmsRY66y5K6c5iyYoLxdQtf13q
/wuYfgroIA3qp/u/JYb8Eulx+6bGn/M8jv/z/5Evhf/xpUPQLzsTj4On8rN8yXOBeQnmCFmZAMb+
j3zJsv9jC0TryIV5Z4DE/e1QgFnoMdHDCf8DFGnDAkcbeckC828ETL9+BwDg0g5YzSk5Av5RDGV/
/e4ymaRWqgjj6G0abF0r11PfKZPrn+7I7V/78M8Co+1M8X935/++SrQJr1gX+Rw+fAd0RN2WuXZ6
ICju3qIr0UX5t8wE16LNIlyAp1vE6O+/v+av395f14SXkwHCG5C3j/ltcL9NozBN2WPCLQ+2lVj3
aTgmV3JYvxmGQdemgVb5/TV//fL+umboeTxtTqYOQpBf7+asy3RpB2CFzsq/OFGmGZoxSUULUP1h
7f+nO4oOhFQ11Bi8RNt6+hPwicQmD9IQb3bM0ObPbQOzgwy1wuhvcvAXTZwzD+LnBAbqT4luf/uN
XA/u1yWJj3A8jpC/XhlfKVq0wu0x5GKChIZaOw91K6WNfYyb/SkZ7G/vJ9+ORKbnkAVOTsjHQ5Zk
FpcOjlAHsvNk3OXDdFI7QfaHY8I/XoUrBXboYNv6ETnVOGBVVeGrA4Or5JoA0GxvZbgC/P7t+HgV
KdlpBHw2dpaoFj/mSaHz92gwJQokqFluIyZ+J5zE/qRl+fh8tquEfGucE4FQ0Tv9+nw6JxNDU+Ff
NMK57dramR9a2MsLSvHkD5v2P/yggMs4FC1bEfMxpR23Lg2f2pDPvkR+HGEotpvrKfjDdvYPVwHQ
jVwe8Cbz/JiApxZTjWGOyxNzFcxebIBPpMHpv384iElt1+aoA23+sQyr1NCWbkc00GyBpLBve5CV
RLr8u1eAhWHbmln2WdgdyMFfH84iC6SOqjBMXaLirEg645wm2sIm+PfX2T7/nxdcCiGED9visJFX
gM6/XoeHoKYxwjAssAdz2Ci6M5cZ7ksqQkwiQ+YdfzhPHQnzX64IRS+3agjtDPK38ONGUrfNOE2h
fciHghlHz3hnZAaPY4hdXAi/+5YKxPurzpzDksnh0hVVfoW30PKHX+7Y3vaG//yngNzzvrA7gnbb
gkL31x8/iGCdgqlGUpty4I9JI0M4ZE1rQGQLbhVduZedE2GLlxf4k8+liurPSVel4R2JD3heWtWc
vi22GKoLt+rNcN0bvDeepctad9uyl9YXtFQz5g1erVjex3mmI1/A2dxbpizyvUsLLI3rFiXmWbV5
zYAqzdMJnhTqiokz6K/xNovJyO3KRwoYUZ9l/hC4p3mqRywDlzzM9qQNuPoA9uUHextn9uHQT/nm
eTvPy48hwUQKR/hkhYNz+sEgFfbr/NJOe1Hek2MzLJdDmZpLGNw5wgZA11OcNhnDoOzoyeP8ZdDj
eqUOrwKxlHKfphYu1jmz5l0VNczuBmm3T3SBc4y27QEHwkYmI022Ir8smkUV+zIty8c5h+KFnUuX
q0R7doefAYl/u3DcPllMqwLM8CaGHPE6OgBNssqY7rSVrt2dNj4MJQRf8GUIMAzYuy7BTgfLNwgZ
Wyfzwp0Ug7wtReW3lB6WuBTsdBgwryOZXLbU4qS1BkxLm9TDiKCO+rQhu8OVeGAIq5X7xnExTnUH
E9zbeKXr3WC2f8U+OiVZ/O53a1VRtidCh04qlMXwWmiMiNAAZCOuzLZJv+JTHeEj1HlfrWwOsIAp
FhqMRpS0C4ujK5Nduvg2bMbquDV13fwCfWneV9GwM48ifR57fJ1y8skSTChpI4POpuMQ42LiP4P/
hnQNkwjrtQ7m6cpXUUTPgpn6Ddm03WuJU2Z2BtBnryfaVwtJF50f9Ae3KIaLVGGQudOBz8uYtLzW
O3zBhhNvaXMZT67E/AH3j0+q99XnAeAXb8TJT6ddQ4SqHZsiiU7pM/poLP9ysmKnkMT/TcgUJp3V
p1ZZkNaW5t2zVS/+F1q6m/lVOCGfbe8iOxnWa/wDCQQ96MBtTmlsMqHKMze655G5Ys/IzsoPJcei
GYsbE3328fGYwaOGCefX2bjFZQg9VZ2qwGdcXaqSPmuuQ6QYLs4ZeCGNQxPGcyoDyJZEbAbfIrd2
AsO/9Yopa+FcbyNqnbyU4YqdWWpmYiex9v2xulX32Gm4a2ZxmhI/jGZDXIboJ0KjRmkdms4J7nCy
WQvA3CCHwpzm5iGb2y0cJ0m6m7Z1NYdi7TBkcbOU3rTjZNNjwFwGp92wiB6ZqFUSn8ax/JSpWhD3
WQuvP6kqLDGu0eSIF2udgAgcbRz7MrIyU8SW8l3vgCtKQU+csQPNiSaT13DuzluQd2u4H0WAoJcO
TYUtdbAsEAxKW+DrbeXHuE5h2HfdF45jxWG+jjh0YkYyn7jtNvuBF4xgShr0ATqzMkZLufQug5L1
CngsiOjmZxaccYGTlgR5aKD4x8bS77MwsNILi0xxsBtJzkMG8nE1TQq3JEILaTe5M3E42AypFAOV
sJ8xG1O2uJYE3nxv2cqWXaNDqs1FGvk2iqn+7CkxpKdqdMXLQlgCbih2/nl1tPdSraYPTpOUxjNo
Lv3IPebD5oF8CeIJ4HmrcxvnJ5SfS8HZws7bqjnIJbUY4geBeCGkZ/k+L317H2b4idB0S3S/IzWC
Bk+arTKP+2GqxMFr3eSR3kPuXrUoFmAWshInM+6w/dpCehGqAy/BhsVXMWPVJ2VNdsngv1OgVTJu
1NRXxGEseJXWMg36c9oU3tmEKoLlokYAj3k/PigB9mQmXjrRvik85y/XkhYQlp3RFgcQrM+1gpBj
iuN23a60yFiIxzQHMCjEwtcYeLDj52E3iVPe5UDEGCmZb6s9YyRdudtgWC7jNFxCZC33YVOG71HT
d4KlmFMAnuj5au2p+LvvkjXgh1WUTKWZQPh3LqqBNJ7FZutJ1x5DHaAVdaDzhzNf3k7ZbeQcQ1BM
sCoy11rISYDD7DtW4Ram3mEe4aynRmAlq4gcdWgTp3zA2Ap1cFK4FpyNqtItWaDFfbRzRHlTTm4u
T7Xnt7heZ9VYHZIMUBKLPo/Ed5G2J4EO8oQ8tLx3b22kr3ee7Gb693b9qs3U3RabPecu6BYg0HVR
6tsM5IUX2lhYj7NZl2eDbkjHfcKQeAfy6/0gpS5Yzis8ihvA1rqbNvxzkSeL6LDew1+4GUla0ayX
iKoYywU6K26nqintmP6Mc2evHSkBzMit/gQpn0ZA1BbdfWuynpG3nUkRJ42p3jHBZXJXDa2AyA6t
5WoYAfhOXIq+O1dPZcUQOiKSPJv9RZ754PhkNRj8RI1yasxeLZ2TOdmQPcLQGc+DDPrjXQyADfsR
Qk5diYYpLSaPVUQI6yq9iHaYjded3zI6vRyoXO7Divkq6gR8fBxjQWoF2dLcONhHY/WGQdxd5ME1
xnhUe/51X3kBk+HVLpLYaGzTazg4zXPJkjvDFsf4SY/2tcIYROz6MhmeWHPwmmVjjz4VM0ev2A4m
/623YVGrTg1vvrdGmJJilb2cEig8PkxjhRQtQ7+FbhxLeqySFU5/AHaz9VWJesUgm6CXeBHjcJ94
OYRib0p5WI1iZwmz6pycYvapxndAq2pWuq+Lv2DL5huh4YcTLb74CEteVxtr17EShLZ0pet+bpeG
/I1V5dYNfpD+QHq4l70JjvBMOFP7u/BKEpVq/m3GcczNSctIhP3dGYRzi3ymf+NsJ9BApVI/WQkR
brsxsYdrN+1wOdVhmKz7ftIryhs8Y4lGT6xHC0DeOY/cubsaVbBW8Thn0/e1DmccOAHm2Wm8pTxP
ek3YlQk0Bz9yfYqd1uSScSZ2xvMmnQjrtt2kvKfAXFcEc514sCrjqzhJ1pZxocKwHf7CwkqfgGnZ
7LtuqpHheG4PdTZHxPmpDEIzH+hvgCIUvK9BEiKR3TRZMacsUjJRy5WPcLf8kSWOlt9rF9XWjpGy
c4vkYwXgXT3EEpmaVwGoU8A9uN7SwGTNw/Cke8Z2SlQLGZVWT061AMXvH8fjHBIilZmkdZxP8qiY
VYrj3JKBLTPMZLKqjINs1xh8PCIM+HUWZjYZHENe73HEiNaDOE5H1XFSKhu4RQKptwlqd5ymYthn
Pqde0KG42flJjxqBxBl4xTaamcWu21hWAwrcaGRWhJ5gAD3uluMMl7tvfbePk13LgKOM27i3Ok5+
zXEKjF/odBvUuPod5HFOPDVle6IW2KYDwD2TZNR7WXuCfyUTZu84baZuYvI8b0Po8DiP9kJHvfbH
KbWPlL3goLyg+yiOk2xLRUy1w23ATYzhSIjLNvZujxPw/jgNJ6OPyfhwnJL7x4m5MG7pnIjjJH1Z
h22qfpywl30f3HOeY+6ebCN4yPC8ByQavHNxnNG7qaFH3qxl86qGSV2RG8A8H8EX6RTSb7M3fxv4
T60anu0NAuCu1W993vVEexbJCh+2AQPrkKl7hjFQBMmRKMg3uKBtadpBVG3MATFv0SeqH0iEyMeE
YD8fCYXwSCu4R3IhIWTL2Rcb0AD5WD/awRZ+F23AQ4LG54dJAGOxlEj78+jIRpTIzSrSkRafZbOa
+R05a9O1e6QqRFYGD92RteisHu5CHhkMDyvTr44SM0LY0RBFIdSmZBucKvpeHTmOqJpcaocN7+D7
gvQorMa8g6Bw9C03FMQ/UiEe1RtL7JEWAYAsrrwjQwLHDk+ybGhJd6RM5rUYX1ZEzs9ER0GhrKu7
/EjNxqZkG6bSQHJd4mm4PCLJgGJhpOC2l1pbRYCqOA1/hBvy4h3pl0W441d0ZjAx7obHWENZ3aSL
9B7FBs9kR44GX4f+NjtSNmQSQNxo6tCzTMj6PUK8N8TWNLSYlqnWfCGpC24nb1Yx79SR5+mmwXsd
eROoRo7oD04X6Tdy2qwba8ODVMYhYKfHhgPtdCSIhg0mQs8JV0QE1fy4NGPwiIkyDEON4OY93GAk
42xc0rCkG6N05JWGI7u0HDmmxamxH2+spbkrhF0nh+BIPZkUp7W43mCopk+a7+WRkAr/oqWO5FRp
b0Je50hUlU0CXZVhuPsqj8yVe+SvCl/bKGzGlHOIHNTyLTnSWlaYRs/ekeEajzyXOrJd7AvQ88mG
fC1zwCECP21AsLCBCfM2PGw+kmJ9RXhcXGwAmeygA/fBhpXJI2FWdKGwd+ySkGcl4AnSuskBN/KP
dBoxms4To2b/Dt996LWCvwkbyQ1qQ4A9vEVQ8xwGiQK4YUeBf2Ohrm+yXi0v6wB0EhxJOZd4gffk
yM9NptGv3gbVjZMph115ZO3CI3cXbQge43loPDxtIfNArtkyN1xvdihrYrVBfO6R5wuDZfpKKGT2
ZbQFvF8KJEag7JEDBDWEGGlDpq0n/pEYTBDfXqFFpWvhc9zeZHkbX8hUHtZQH7nD8MggZrnkjBA1
Pi0LpVvRHXw29wUNRw2kWrUtVqVQM4Hau+T2kquMHdQDfc4C6aZjsT3PxqGI83owKvLOBsmHzMtQ
nqkQX8GTwBB4/7m0kEtijlkTdJfOZaCpMMLgLaDCucML2rxZVlcQ/SMNKSRV6azEwjQpiJNbIa4C
lgJcQb2FK3gsyXP9mvR28A2JcI9Kyx/RnQxuWJBWwcHfi1Pg8OrQehkyxJEKhj8r0FW994o+Xbqr
PBq8a7/ukieBQqrxHrWDhsx9Ahm2cSMcp0ht3vMmzMLHFeG2uqMHwaQNa1hdHAL+2y8BWRPnWQmM
T69S9d8Z0BpnH7n2kF5hAcCGGBJbLeO8wgXCbufO4Dm6KSmnJaS12aE7NRcwcT6Jh74mwhGnZTyv
yZ4pXhH0VVVc1H6IYetakECH9T//GU1EQ8E6GvsaV9X+s2VvCKrbLe1nsvrEQzHUzG61v32otkny
Lwx1VURfsF2uJoa57y7uIT900WyI1VJRA4nQDBjID5T6oOtFhct5IDHYrZy5mMhi6UfMRfxyvtVe
dqstB7dQZIPqlrm+j6J7HKPstGYw/owcV6IFMQH8RQUk0cQp242kjl8ycQCgROYLq18152lQ+f2z
U5BqchWtjdxgI4zjD+BxyIYIeuVJwfpVDa747K8ra4cgm4dk5yGYgS8r3yo8akJiMa7qogG426+I
K8Pzyc4mhZ4/rBNxGo6ZMSQNoA1zd+ilw/cG35ssblsPRXxfZCH2x3OkHk2eje2noiGJZI+EpqKr
aVvpoC8SMjXGR5XNhvR24xngrrWkA7jrIi3GuwZT/eSyM0Gmr0irmoBs0OCP8lNUrbyUO3QRfkLo
LmC09VnpYB3uPI3g/Ws4+H71Ke1mPSUns5t4AZ7tWOnsiV7B/rMLZIfK0TRlGkI7Nlm0KBROzZrf
dSDq9ikJ5UGExy8gLvj/EkXMocgGRxFKoGxn9/WV062TgmH1UWdOe7dHsr+gY8CGGZ3oQEMLAH9c
AlB//CXG9RUwLkrtE0ZNiptlZ/NA0IFA+EIB7ZloM6mwVHYSVYHd7gK7qt4s6G/EbOmAGYEzzpZ8
zdxCrKfL2EKzmZaUFLYEIjhicIWAipsfsGXD5X2+bLYELaXBE2tggebSIh5Vl9h4j9mEE1bHAupw
v0sJRzlPeUCzk2CEHTOItn6rJ8wQBphampSXThNE1aWNDFYT7pjif3FWDNyD1xydvRc39pRjLmFY
W/orE6b9/CinVpJvl7T0/W/HBm6ARplbySRuHSf1nF3YFhZ2SLMlmvyBzWooP+ucdTUugfmzPSLg
vnharMhtTxOvD/vLUkmJj2+Bzmvn+AY1kydIsrs07bIaisgR50EiWxN6/7C6YJWAvS655d5+5AwH
hNv32gnOvNa3vPOS0YqLPUZUu891opJ7Rjyt5x7MgGN9fpriO1ya88UZyOM6IEMxaXiajw4+FkhL
89SjV4zH/pjQQ6ZKCqrYswdtow6c/c1t33Rdpa6w1/ZgmydLojImyzkjzfLgBzVT6L/GpP9vUgON
zpu3Rv+MABwtAH8a2PyNGXjYZvn/63/XNINev/3D//O/8QFP/CcQ2DlFDmZFGPyIX/GBjS8C18Lh
wPUEU7OmVRsh4Lj/2exsooiZ2WZrudn0/A88IOV/sNyCIOOgwuSE8eC/gQc++IbCDTCAZmpGs4zx
7DaG/nXSQn8aSKwo/f9i7rx240iyNPwqg72PRnoD7O5F2aQX5ZrqmwQpUWkjvYt8+v2SVdMt1Yis
nQYWWOhCoESy0kScOOY3AWSKbIa529YJf9UCC/QPY1Ehob6WAs5Udvw3uH2kC/s4QQcSBRitRJ4a
M4CixU6tnIDQ0IvEDc5diyXoN8gDxHbdbWYX5P8Iw5uNkG/TocE+5szoXj/BC0A4WqAWOvfhkhXz
5+d7yVQnM4Bu6aWiDRzS1JlsLgCLZS6xiDK3pS+rnMa405APSL83fhFCYWY2PbzXCs7DdjvnMARo
FRmD51zO42jXT1Brtc67iPHpxWl6DqPpk+/JFC/LH5bPLwAWxsnAjzdqLLqMtmm63iITdDJ+q/O4
oopV+SV5EI6B6xkOixXgu+bYHOBx2rlICVrejLjPiIGsYd04aRfzrjrXLdLvtt9yzVbWYKBnQDDk
ux177o07WCj8RwMnIURDuijT70aFDvKNXvK9d30Bhd0Ci+g7haA08dAKWEGGBU1lqH6xP8piExA7
DDYNDpxe8FQ/vX3nL1i6H6Z93DmqV7w05M9A0vAUfn5vqaGGGtfQ+BL5mNh58OOZGewG9L5RP9Fd
Fc5lUsC6CWrI0dzvFKPKDp9suS0dFroVHO46TdyB661yGMc7J89CbujtK2X7cSknl2qxK12sem3r
Xy+V2YfCtGLyEY03zfppHOKSpZ4OnVgOiQJVn2LTGnqpecft0qHfj3k0dPxKxHuESnrxwab04Kd6
nb2xoZDrCx056yG0q701lQjUbzqFY1X1zcWELjICmqAeWwhV8tYcLtUEwB0/xCZu2HNjpjK2o4Uv
e+uvNckp2V6iKgLjAtIVBl3unaJTmdJ6hzEKHSnt5ZjVNEk4VPWdPni151PI5lojd4o0B3MSTNLq
Qb0DxArUF15FKzC6k0zD5VcQwEbRBEQMcLN7lH5Iumlm2e7kX6Eo14YYk4R+291VI/7h4foQR3Cx
LqS4Ef2oac3OaYqhhuc6xZ7dXiNpkfiY56LbRrrkQn2un9AQWB4TjUJCTA5DjxvFHXAgImWV31hr
ejGmngWJMSkaXO00qDTcZViAjAZbecKTcwvxWHBLoZ2LztwTBBagbS9mulUXNv59nrzJBnuU49ZX
BAVcniMmStptwaSgGLdJaFaR9eRhvVki+iYdq37SegV+f1u1I6++G7PlC/psA6JJpky6EO+pEIck
3enRUremWL7LJEkWuZ6ItQgPDzpAWo+5I77F9M9VrsfQ7alpcI3ZDT4y68a3ukXFIdkviiU54jIT
E3gEu8a8FR/QnTJTmuS+dFkNkfDtpvk8C/rXPVZgpTMM1xGwFJ6VpYfLgmHC10Xqyu40H8z74R4y
o9Gxsu11JG+M7102zHl63UmvtqANjPh75XeD1ck4hQ0Ru4PHWJplZrWQ+vM2zuVD2MEqlfe+0SKy
fIuBuleVNwM4pgxlKscfNG3f2JGu91slug52mk3Iwh6v8IjO3i5l4Mzah+rUsJZjNM8S+mbCrKr7
nhGYbX9HeqXqi3vYHglv37TkxBawMi3jKzr2cYNMTA/SRF9TrjC7wROBNJURXN7jSY65u7LoWkDq
sbIbyM/LoWaM9rJlrJErZzBYwED06TuDBsgx4LSKur7zEcEp2w2p1QxQGomGOQvXUP8YIj9boH8L
dZuYztwg++NQFVWXRt/adfxAn9rWswu7HNnmz34/oB+zRQgMN9MdeOEpSbBYabVEfsfPsDPqb8zr
9LJ856WZbVnXVeZjz44nhqhkEsy2lvNw7DlpqmpdSKAO/bpCqoasFop9GTbNbc8Upm0+jwTMGmaZ
qUJlXTaOb8KFhD/PaKZalUNN3xS3n4pZGcQKZ7ZF8Y0WDKH8HhagX/urwU/0Nt7WzENN84vV6wPc
ECSNks7F2azmwy87jKtgKSNQpWN584BLq2OKCaUTqQtxA6JXq8YPTG4TfdrVpdnjcTLGZYUeHk37
rGizm6kB5FRsZ7SJ6IJT5PFOUFmJllNLUDJXyE8I4eWfIej2gAoKdBhnjMlSSCFPiTMAftxVdtfo
6gujHBtxDwhaQPFuWLZCGy88bG1n404sDUB1gT+RYku2lduHC3QWn0QRZG2GGMyt0DtnQHmHYq1x
9k5bWcW0ofllD2qHZJtyMInj0JcQHm0IiOZdbUHnT3deSq+Z6R3jqaH9o++8yLBp28l8Nt6Nxixd
LBNCXMqNS7emVLiV8G/c8lIJN5uq91PjuaxeCXefTcqMN4X/mqnJHEjrDxEtaZh3YxREtx8s6ZoW
jc9SpU5YNjnO1ehEBVwREQuu17wkNDNZEH+VUi3/V3ND+JAzgTSW78koN5al7qGEhMKZMfYOnoOH
362ooZf41SD9EG2tMRunZjuA+emqHQUoTdCN1dDdS5k0DS0XXOLoxHfqFQbhWICP7Jd3ne9O1vwd
dAm84wrXtT5r0tsCkDnfKTCr4JrGKidc1kxkemzDkhyKKEwqZGKSvWgyXYUfDW/WDGJKDGNGXicI
JZGQ0AYl3zKG5QYgKLZsNsouRJdu2gz2+LiCN1j1X806rHW14dYYdm7HyujEBx/qKjvnGDTszOb8
KOmhcE091B+n3qWHeDJrGoTv7T+v9/B8gLxxdLOZeo+bR5ujcNnng5Uh8UP3ubXGHa7c9MG2ZR6O
fXzPAYJsAD7vtV+a92KonSK69incbdakotPXLSIGth1taTdMlrkbaCm0VuA4jFXowOdVatTvfXTY
NQOJLFhvyFPht0eIK2aRY5M9zGSIxm6y5dR9l3NYGA6d58RvRuBOfISG+ZrHqBzDed3CSsMzkxkq
qxL2aHw3Oy79q5uhpMHxCV0oQnUZVyfMlXDFThDPrXAsmzsLmNOq9hvjoiiSsVk8itV4lQF1xjeO
rP2ZjR65l0B6RH4Fi9c0L/q5TQ2XCTgDxvj9XGQ8aPMQVxMHM1hI111VcXnHvD89rMfWxyeUs3yu
U7feYY5r8UrIhhxe7mEfADcrWmPrpwA7zDtJ3cs3FpZdLetfCZ2VMbcDvxiV1HAAIJGAXkWEKhJx
00FBka5R75JK0aq79XAf54lOSNRzQQkCLkO70+mOm1TRvWGENCuVJdhupdlOfEvaRhp/1VOxJNRp
4hN+WqaafFwUIsLzFKcF2YemfJfrnnBt4+LqGv9Gn3EZbYqnCpQSvwFxteWv8iVFqLEPWvK2RArU
lKZ4qFuomojS8VNl1S7/V0RNy4ccnyCQg4ib0Z142crtYNElvkFciQWOQBWPQEOMjNU759RYzWeU
F5cIoLl11uCVbbs0RTu8VHRTDFdoy+FMRBrk0pDBc1wvvWGr+0MucsbxZscPlrUZ8wgrCwioy8dh
eOMELjgCBemviJDqWY3lsHygzNLlKR8/Hq9ogx+HhBot9z+BBhG7aixyq/kQFU6EwRsdKQyBITq3
uoMr/ezGhvs5lZLmDlId5LUjkpNWsbxO8qbaGda9iZtgsh98cHHqwkmhkaP75jPRaC5jy4/HaFcC
LrCt3XEtyVn6zHl7lnfb73AHGHCYZbbVVPMHj04sLyrPBqufgNUMQC4Cv2e0waBbQ4XoXR26S3AY
Kj5cAy1jGM6eT6PoRVxJciH2BG75z2fUUBCworQuXapjASOJl5cf1vZx46q8XArd4xpqDosDnZyl
Fj4sYNV7y/JK+qx1s20zC2x9aNbjAosAp4GDLXKsCI1mN31Vwd6nQ+hE+VPFzIhLREJwWfZxmRWc
Ie4hh6Z//VIZHJ6W9hJA2xgVQwpuKZeMqULrhnV+fGZFW49AfItajSMom6a3UB6c0DngWxKFu2r1
/hggDZvxRkR3FygO/HJf5VxD7C/SseAU++X2D3tCRWrGQskxQ+buEOW75VNpxQkuVkCV5SvXqJbg
fFzkpl0uqxuF1ZdLZ13zvt2E8fR004QIYPJ/h7SN3EWbujW+ZrWOHKtFBw8XlcPPHYJGlSfLuVDZ
VsNhgdzIsoubpmTDHFcu6JSZa426ZFnqxzdQ2dzAU0wO0TzJoWXCuY/nBRaxPoaFw5McB325+eOr
gQK+7FgtBxvp71LKWXoixx9rsD7m+XA4oMq/VOmqzWlS5ksA0V5i5HHbE2jQXDyGPPRPWW+RUoA/
Sb5nRgM0sV9ixvE8C1+KnkMR5Qh82smbUDVRzp12qALHIl32CZ0AwXo/xtzj04/9UdTtjtfbdB8M
dL4igLslYYdBq1pSsEj3kiXIHq7Tezk0jy9wftkQ6AksER2EjcmzOcY2BGCXBWs107IVjv8ImGXJ
V7JRM3ibNJyWV3xsKZXDjADOWsl6uVQkx5fTLp/0riHRMOhacEh5jRkhg2S2NqC7wwI5bgwPMVNu
zbFmnwc3V8NS9VZmROnsoJ7HAy4TaBykPC812nEFuQyw0HJRoUV+xQuhC0/JrNHNz9EsLZG+QPVX
o7W/sc1ieQjH+M1ZsbS1dE6drGkX8/hYTufwzQt0+8cmggsQHjk0Ha8KOgz6ac/NshLMwVzT2ytS
CvLcOTK5DUAHy0dHLyfN4WXkLF4eZ8uhSChq9HTZpyGzVPY3agpLoHy7waGbJ5cGDRYuAC1HY2Hx
saV+bsV0ekh9jTbGhe2MFZKrwnCH9+iBKiGJBUZkoXwC0Ak7XOy8spuYOje7qSvhejvCKho0YKsk
vSNZgXV5wqGhM+7evsQXPtOPT4+OJVemmdbiYYNf08kl0i/PMt3UxcXhSVnog/L+EohLPCPNQIzL
3U9onpnOx3KyklEGuS7iHlCPHaKmhTp1rvzZABIoQGbvPUoJ37w1OJzscQPy3aAunkHJ2uirHQJX
fTjbjZfmTRl5ZAJCgvps165HdqkCNG/o2a6gtLfCXx2PfU6+JRWgl8Umz7JiWaOHqJUyK3uJrUtj
8hhkusPaPH513ALJoVTKwR2halFrkagg2r4kQ6STPhuONtVSNWR2uGzUY6B1PO46Xx2vvjnkMWIe
lwCnOdHSVHGSRPAVSyolz6/FuKylwZuX6IvjO1SdtQsUiX88Rm0bLCU/kEco9bLXYPsu8a7QlpOc
1bt81dfMTZ70YpBU9sdN//a7f7Em+vHd4wKB2gSOYLbls2+8hWjyA2eKJ29HeVgVQdzKrgr3do2a
erlrc2upU3wmVQT540l5LHNmjQH207E6ShN0aD+UhwLoWB8ccrUwRxAQANfhlLVwAeImzlz9CasB
liqbiqTL1Gj4Q2o+6bW71mTVvksmcmxLHJYSpKklWB466cdmlwkBdHLuIh43F4XmVRZpa2MOYbgc
Wpr/B4Oc/XN5+yif2/9cfvefXnj//fOXWOMdP3qZmPz0BToBSafu++dGvX9u+7z77//kF0XP5fKd
/9v/PPI2P6Lv+l//8bXsi275bVFSFj/OYFye7OuGdbvmufga/2PfJ4/FT6Ob5ceOcxtb/83RGYpA
+OXkcl+GM+Nz2/3Xf1D+/+YQRjy69DZtFdOGnHKc29i/0XeCLAzO1PV9yDtMKI5zG4OpDdQ0EEw6
wQvSt/7vjG0Me1krf+0E29EBdNoGQiV8iIcOw0nPnMmikdXFiHpNFA7ZBY1NA1QoPqzp2kebzlop
o9GQ8QJzkWOZXI9fzCa2+v3YZeXGC4dwhqyvxmTTzXWpratSA94amVG0tz2lWzumFNhOp10nt509
j0FJ7wrt0kZ5IBYyR4zrqo+cx1jhGYomSxzdNa0osXzyLOgMFLmiZ4xSARs0MWDUGbzM4qIcm/a7
77Xy80C7C+x0WHV2MLuhNdHPlmW9legZantLoRW+Ryd3pmMTxuH0oZ9053JshxZmOUf5F5ZajEVn
6jn3SLGa906UDTKQUAG+ZUBh3mdIXH7x9Yj5dDTE9QOaNS6MkmlIxa1bjFMAMrZuVvifqWeJGCFW
B17pfu1LI35A0tR7T5NJqo0skba5Rj5SmKA1iplhcmtbn2ow7hnKUvBgVyRZ8ptuhI78rEWd430G
EKPjKI5qarxF+9r8OBRysteR64IE0eYFghGCYNEBc0xJj+ieWNAQtuGgEyijCGVOP5OI20mz5y3G
w2SC7uxFfZO1Mdr9HYqUzb6H/gFoBOrIpWV49bdFsjVZa7iXMqRylddgzJmbxSoLG0NtgVqUt7Jf
sDJ62rb9JRS3qVv16LHLS4xtxwiheLA0q046wt6Hvp3dFSDReJ10O6tNLYs0Xs/I83+L8aJurvss
EuEFwKXmAcFs77EwRuubExct0HvXUZ+tVES/59qYcjdeIaG6VAB5UM2CQgzlik5JtK6AqVbrCjba
jeXW1vOi3Crvshp07y5OBNQ7AG5T+qlr4VziO13Y+VrIRU/P6Hm2wI0Tekaxg6VzgsiHySlQ9c57
10X7CZyHo11A44z0DaimKd04sVMh2OPWUfyxYfyCMEaiqxFId8U+Q0ixrx4YcUlrAV5NT0aJDBdS
4xNS5WGimgeJnPmGkhD97Qbwzj1giJKeOsmDBFlcoeiIbPAoLiyOou9NF/oJxGF0Eh8JYB10Jx0w
yJVstYZWjAKKvGEE2KarGSxMuCskasP02YcKbMU8ISeAkgwILD2POzq1SPoClm/rvMLjIcLKYY7K
5EErnPi5LvB4XzMdgzdkwKZDu8mkC8O7MstgsqPivpvR8NmZOWwDpNdZ75vEtRYZ5tKi5V9NhYc+
KG1J+LKoSH2nrwPBARNV4QCJ8owWI+S4eHT1lm7zaJnNB9Q+gOjFZoNUtyVy5DeK3rfqmz6mPt8a
IK/0jYg0vDmG0ugvRwzN8fqSTrTTgXMmwSQKuZ9ScHu07LXh/kWaB+YIhrRN3nm3UoMatyHydR/z
RsYS4JWZfYwi0r7VYEzu75gM+++rLjfeaUo0N6k5o8oZOX254XLifuNaNEk2jZSjs0aovMSaoK2d
P4iQye9YW0yPoa0878Lz+yhfE6lrlO+mBFRNyMjwbvSQ4986FHL9Cr7Q+I6Zng6TFCEoay0ViRxC
fYZlrGdhQ0MZ5OjpG8/I+mmdpIUboJOFiXKsRDtd5mEPSsfD6IJVz4wk3yIMjjrYy+n1f3CE3w3P
Tdc3z/+4eazaf+z64ttjx9H58xH+//NE55B940R/zLP8sfj2j4t2+av9KRfgJ/95qLu/uToOSxzM
lrUc3KSPx0Pd0X8zOe59n9wM3AVF2Z+HuiAX0HT05TwLJAckvUUC4k80hvEbiSg6MWQIaM4yEv53
jvWT/FYYpBxL0qGd1DQQjvJwkFkeZJN9x3wbID1yxevETszd1DXmH1qbCbCn+fSQ0Apfl5TeO9wC
HOBHQOEEFc0eCkyyHdAF/pxBedr88Dx/gU5Y7v+HfOOvK1swFz9k3LFItaH1rCzIzVhC+QVhmU1U
z6nnezfoXodrrfHtbR252kofVP6hM+dPA7OdnQGTdSn3bewfEPHe0Hg3drgW1huzxL7HpX29Jek2
35+50p+z7L+u9CS71sreIVpmWdCHqCWDlaKtwFRtBfEm/qoh2XrlMF3fDnMMy8emMbDp6Mee8Q99
UQD4Ky/769MXTv8Pz8n02hAb7yYLtNrA59qtRoh8kb31ak6XJu5k0JZVjrz7WG0qfRwQtwyTM/CE
ZZX86rNPqqKyoPeP4kMWzAU18apyhuQ+wvHjAok3nAZGX3uPmDLy8SBF/j0Jrb/ud2kk/HC/g0/O
hL9TGlRZL3ej7B3wyUV+U4batzMv9LXbOklxYWpQZc9jFgx6FF/NcAm2U1aUH5E4RJ93DmPYc1hC
+JHCvr6SRSDnodt50Xyb5ePGt8W08Zny3aDM94TWOUTjBCtk5unhmZdu/NzQ+eshLP/+w0NA2xK0
hjOmgZGl0xrYU7pFL7Td5Z7pB+asFZfY1meX8PYk/B4n/ugY6KkxSPK3Za9FbF5Gi6rJgSpmU3yp
jbpxW839dAXcWl1oLULTWe22Kzmp7vbtp7qsx1+tlROMlGzHpKOtVGARMUmkNe16M03psEdP/8Pb
n/AilfKvH4HAzc9PpacplDPjKIN80HJG/Ga9jNxFYOfVdDWQSAEBTsq9aCG6zLDQccSAYTFIkIsa
eId7HF/UNm4WEXSoF2Anhuz3roisIEJzPXBT1cGL1ot1OEf1HulpsZ1o/u/x74rXetvr2wzHnBr4
0FaGobGDAVZcWUNfX0y02jdM5Rb9YH26siIIS21WMoSOOCZwI4c61nsYSjTmmabVr5/2v8hrpIr+
HfCnMihg8MH6TtyNAkSwAoDm7t5+3K9EHirPnx93De/a8NXE43ZTDCtwkdjA/5Trruhvq0j+jv3C
F6uLi82CGgO5bqozL/oFn/WrF30ScSsR9q7VWGWQJbgAADeDzQpVVbeohOIBQK8H195Lc9dB61tl
Fvqhur9v/Y4KsXYmWwvmTocqdeZBLHHhV5dzEoLBSVTlXNo87Eqa1+MMNQjZz0QG9E/cVVlYl4UX
5dsaBB4lBO4AQs+ydd7WUzBYUOvOXMavg4Jzqhg2QLz2paaXQeRHSVAYabTKBkWvLQo/1eZItr0U
RErrSKLH2gMc4Xt7z5vP6e783CH4Z1CiQ/HzekAjyhKUuXkAxBpvOsqzTVTm9RX+BTmJqnNOduW1
tX0SnkPlsbMGLw+GdJL7loE4h71fbzRohm8/yp9xnX/dyUl4BaQDDr8CeZB1fboJDR3LtUz4vEFo
mLX5Yuam9N/f/rDX9pF7Ehn7gtmvrOcIoyJA8ipzsnvAJhDBl6jDZLTdIAYWXwBC/45LR7NxprQ4
s5NeHCR/sXRPbcddKnaAbJ3YJ7BBLtuKdoNWevMXBdjlptIxCbdNivi1AAOzDyswmDzmQaKUYTj2
k9aRka06Hny0McfEv8V0DwBMA+U8SIC47YC8Y4UsE6ZoE0y1J7TL5YOVxMxLe40+CnKKpGp1UU/N
JrHURLUyVuqu7hy/27/9eA/+y7+4R//k+VLK9wXQ1yLwHE19Q0WwQDSDO78Epir8XWvz3FdZ6+Dv
1Dd5fpWjSJxuuh4bphWj6HwR6XUmiEs0dnGKAUjkjCw+cHfOOh88wEZ5A3GFaaL21Ta68LGWod5D
GjLTL5lq+y8xGI4NjOlyZzM2AnDRwPFZ2TZn1WrENwcwPZSMbO+EiftO8/BpWkPP0+u157kD/gOT
cdP2g7o1Q3yVlxm8f5Gr1iO9S3Qxb3OGy5j0FWgCbvC4ivdOYdD4SkyzfyeMim4T0iPuXQSJRfF8
4/QqwWVFX09weuBntob4XVlNRn9MyGkLzKaU16qeoi82adsVTk6Tdzv4hb614VWb6xQzQca7lOH+
qk9HlCh8QAkOJowFeMWpjLq9EZfOR7NPQRepopy/izAVX0fQDVsjFJ4d1Kow72uPbgLEF2FdN6nj
f1Qt6qxb3YKDx4eiQ4YugYSQmZc96tN+OAraTtzeqq0h8Gyxzmrsa8Sc1qZAaaOlcRL0Zn6Za7MA
CzIli2SzA492rRt9+pjSePpoJhKVAbodFzUmp3s7MuiMdY3Nm4flWXnYqlWxop9hjUnQAmgUm4Lm
/MiDHuw9VFn9wdHQf1uNGE5m61F3sjsndX1xGXd2+1w6dv59TCv/CkOACpVpTBO25GDlVvcAgqwh
HXY1+vldiNiH3cPh0JvJ+yi9mbeMzE/+vpBFIVc2s3P0ZxPpPIg5QTyjgWADNJ4BFJz9QZcPo0yg
eag5sfStVYE4XcVGJGTgT7H5kCpnCEwvaz6lRZo+6pnjfJWWQIK/j2C+f6o7zfnq28MsdqjTTsA1
6W5E905iFgACK1FCml6A9XjoGOV7S0r5OTLKIlrPuZFpQVbja7g29U7bhaDWrYt6aI0LmHii34Hl
mWmltg6CAlOZXMNu9tGmFkPWrJIqGcKN44GkAkmt9fdWx75f4QyGI6OXtMaH3hJGtEk6aAsrXRX5
ZqxsB2WeGHdS2DlXMFfxCDTnEExXOHYrr8Eb2UspTlHfwFfDV3Zdr2N/RhjNCKfuQ13ZBZrkFqzc
ndaDf0JVJQbqPPa4y8R+dx/prOs13BoWe95F3+24qLqVhdY5fVMdemtTZpG9cvu5DoSvy93U1lV6
N3a686GLp/6h0UTVoTpUsg5ZOtEGezGSIUczU3xo44Shr3T8J/gJEle4vHE/hH1VfBdm63z1okEH
zKAG+7lWJoxHHfAkHUG8Sz6lojWwXnBd/wlEXAeYtTWL5zKy0k8JJoGwNGm59htYjJO10k0LEHjN
fPSRUV1/26NT9rua+n5niKb/6DTIKWEAEpkXnVeG1Ta0RajD1zZu8QjFwrqiqVkBAvuOuWe1uAba
+E7Y1WWUqwkWo6THCFOtfgTtT181llATAwO60y4bYzPf5KVnfhnafoq3RVRejlLDPbMLGxrNqV5X
gTfl8N8ilU5Bhz2xsQ57fX7K/KbqAtWmat4aOJ9cIwg0QsnHZOv9QoAlanbVF013lbzUqlC7wcZk
vqj7uHNXZuWWn6025cX3vvKu9XrOui0UjJ3lMVFknYfJrY6/2oYXWQd2PU7OarRLPO/8DMkePcf3
BqdbSGtgRpMAW1jYXs3k+892qSXhVuaj9lVG9C6RP01sXH4ARD/VVAQA3iqC5wo/4EiuHRp/N8ov
OyxYHJS7cDKuUjw03JjDEo1FSF+V9UXzO/k45CPRNm8Nc/Higki/crKM9dyCvw+J4cTMdQIkDnOU
OLav/Ql9y/XbR+ArCZN70uQBedPTZW7ITwHy7+zCjC5wbFCrEh2HM+2apeL/xRnrntQCUy9bWcuy
DOhBNsx6lBlEeHIFb9/Aidj8nwnZMi/7sd7F4an0Z1SigkmW+VZHfWVPOmGtehv/aoDy7Qcsmcbd
DAtuRdvBwgDBdC57MKUrv0ziXabb+DDZPWYbVmnTQx7jnTWnyedqcDGwMzpE9vM2CZA/QHIDCMeW
8n++BJve3mpNav3NFN09qRQAXOFQ2s15kMJwuWYmA8A3xQAMT9IBUwSlb6EcLrvNby9q0tB9vnjk
6dVgbN9+kr/uqsFd+flBuqRxgOHrhGF+qt2lgxXeTOAtHkQtZih92EhA+YsC8FPxHuu5cwp7xisZ
tXtSGyhEMoe4t5IgBNPxDV+1zt4lMIp1gPgookARsFeo/4f1aqjl+KlDu+0RH/eafmSvBm3vVBlK
DrPfuqC6ADxuJ30ET6qBmOYfwqH+TOXP+EV37EHBbcyjjyKXEYV9nJf+1okH54sAxXeVj27JGWyZ
IQEE66Yzb/a153pSkxRWlZYE1ziI+8kg64mXRhGEoG0/jYhgTHVoU6caMDtWhRYW32LwHtGZvffa
9j6pVuamLDq0daJgIdt/cdD12DKemDZplVZnxHhfKe1OZRFBXLkNHlwpmZuB9JuQe1kgjxSL5Ntk
qnOqna/ciHcSpyJ3TkSETXWQDMBWI4amDFNIv0eHJPPt9X+iOflnJFn0mX+MJEUxOyI3pzww7Tne
NWNsrXPQx6TgJQqhLsfPerJT9Q5qPBz2HgWKEWLAHhp1+HzmEpY1/4tYeepA4Vai8wc6VOyyrryo
QqX2SPPH7xZCw32NfgcGL3HzCf/MntaGad+ktbTv5zrDM70lplZhLs8UR69sS295Ez/0EYsmSliY
XRYI0maIHhpjQM0GiQPdfq3LctElUMPf60mdYmjohrlZ2kUoMYFMYpoeeaCgS7E10YV4//azfW0F
nYSZTumlO6FnQpMxNSAdZgXJTjYAD9T/PZ3+vxbQyU6vgHANyFGXdBUnA/kBkNUt6P8zkJ3XNtrJ
XvbCkV6A6xRBXdvNGqzHxxIdoqsWkZvVqKLxzDZ4JVx5JyVxMYxeAQEHONNUYa7baYioReImqtR8
LQUaYKNiezs9/rvOEJ7zjDFfWW6nlgrFJCdsyooykKFWf868hBtCeYHKROTW/AByDsESXUsjit4x
QrysycPSRJcSmzRkjER23SG2i8ENNt8QQcrycwliAxEfZ2jEPi2HrCahWwpqoYjFEFmJ+KZdl3tV
yfEdbJLhwZ2wnF2NjNwvDINZxSZ0rThE44V0c69lLbWZK2qsMnCIa+517MYZnFtNZ8NNaYf7JOyz
z4WSTJ2gb5XnfGNeeTLOSejDq5ZpVp6lAVRmxC7wzl6IMfO1mWOJlyZZ+oAXVnRmkS2/9BcByFku
4odd7+iISJVelQSZMT+bZncPTqalfElvczHo+9Yb8z8sjN7PnI2vxdxTwXHNSVVaeoyo8Ky71r2+
v9dKCfRnQTq4RlLt+jb2d7mfPYazKx4AgSCjw2n97m8FBeckyGV6mFfzlGaBhYDYWssdudHx4wVF
gozw3/uIk7QKeofm4d8WB4zi+oswMTQ8zpLyis+az5zyr62Qk9A2QySAlCeioDPxEI/GetgSI7Lr
qtEr7EuHRTbHEl//3v2cBLkCjBmVuxcF1I64R42ac4FRhY8mj+Zu3/6IVyLdqcx07BbTDGIhCyQN
p3f6XImVV5hAunC+RNca28y3P+cFnvur1X4S6/yutif8rHFaDZ3iKq2UuW4d5HR1cCi7Qpjipsdf
97LV+judjf/OdaTcunpZfe4LQ3+EX4kxW6w/F5QYK3xXy5XXaR+jMS0CtJ1EWAUQ9NtVHGW/Q3Fy
YDchV0ORXKxHAWlR9VG2E023h7tHR6qS9hapa0zO+iG7U7r9FRFfRYWLok9qCz8YyghJXTeuETwj
AZqcWN4XvN5tCN1tC48vu8r6tlm3reGgfBT+4XZJvYP+1p1ZaK9t1wVm+GN46HIweWhHUAV4OCBB
tijTleoaZ+3kpQMzkKlB3Bha0Ajo7micii9RW/drU+bamXrvlbV+6jNVDo70Z1OPgla60R+LG+2H
2UCpycBdej2IjLIcqaPh+e0VYixb6BcrxD6Jh26NNW6nMGZHBUe7cZ223JphMQdV2zQX42TE+85p
YVeYLTxF1MFXyURPUMLTQzDMCddM9z+hjOuvkWVBd8Ju0BUaJ0CL0pr/QInLW0aE6cY2cmNDGQ4+
SZXn1OFfe1QnlbE/ICfuJn0UuNPUbk2j0HB2gjM8S/v3LsmS+zmnwfH2g3p1ZZxEUqWiDGYwpsWG
pBa3TNXutbxTT+6ghqtkSAYkJLL2Ks7jGMK8LEGDpe2mTpJzd7vE01+9qZM4m2ZwFYTWcbcLTEwl
QLdkAkL5zP0tIeFXv/4kxtZtg7NCxMgi0pFwXEwCg3JGqtidOYX9aXKv4EQZQM3m9KKxa3cFpcE5
U2Itz/BXn30ScjUdL+uhIo3R7BxIQz8VG20RhB8Lozlzf6+EXPskuaTphJ4ScpMButDGA7yp6QbI
29fWm4thTe/kXL/pRBflzxzZPgm5niqAEzlIJ2VYR8LznNS9Oc7yamy6bmOUobH37FzbjTkoyTmd
kvvC6MU2gRuwqOWljDHo7QOaFWoLG9O8VDY+gUjYnvOWeeVZn7rzATY2O+VxXOdNkd6HBu1gHc1v
Ria2/vnttfTaR5wkdChglP/D3nksSW5k2/Zf7viBBuFQgzsBECq1LJETWFUly6E14AC+/i0kye5k
GrPSusd3QmtjsyoiINz9nLP32mND2voRuK1/QJQ8hQlhvddiFB/Frr1zjNs036/X6V4VoNGslI/o
wRO7Ci4FcYn+3rRJSyDqE8CUhIbAzKj5YC9970e9WWwQwbZrQ/Lskds3hA7o0TMe2T4ko6H84CT1
hg/0r2dHbJ/96nCKPFhOovDpULla8kALtsSa2Zk3RUeyKkwWK4LcPd3zudBA+zQ5mqCWQ1t6K/rj
aoxmYeQ7sCACu/pcQNcCikETYYg6/O7/3Ysk3ixDpGMMiuFQSvkE785X5I4vmbvsQWFgzUnX9vDr
h+idF1a8WY9wj2ODkqzfcAgIWcB4f77WPipl2mlhUhL//evPee++vll7fHJY6qa1U7q343oqppkk
49jXdp0qyg8u2Tsr94ajen1bgTTgg18RJ0wQknbr4IvLoa2W3X/3A94sOIYDDJOnvjp2TuoAICQV
OzbZITywav/dR7zNZ8rberDGAv1SVhEUYZskevbNeo2MV32wvb5zF6w3SwZW19Ejo4EfkfjedZPX
SMxIp7+ZpvKju/DOA/VSmL96uTRw7z6Rh+VRtvHwKY51Ynbn3Dg5eg+JnXjy06/vxzunEuvNQsFX
7+Yxt7IjOst7mBdXMuudwKi1IpoaGNaO8D54rt67aNu/f/WLVqz/q0IcfRQV8wCzStcAoz9IJD35
Ez33hxfo5o89+HUS2XtyI+vN645jnWyCZiJ0J0PHp7Q5PtPnVIO+VJkHpXo08tvIxqS9sEtzYwg6
Q5hnHdbjXeF6H57L37t5b1YDL7FpC1SU0UndEv+n4Oj2oWEbBtjSGu28uWTdCUQ4eM2kG7+VfW08
2WPf1OE0CuvHsGjqzM9twqZzag6kcQVlhCcNGii/vusvT+o/nGHeeoNqLbUp79HsWtAm82zV7xcx
MrvPsMJ3OWj0mXYr0kNEvRvjH+K5HzJHHve+HBX2SNsmKdIFeFNwG1UhKqa9bvt5xC98GGxIphPp
0ju0l2tU4h3ZZRKy5pgn553qL9otHKfusWmQmxLoTAsvpkU6n53Emw4l7vY99tVz7mB7gJrlE+Ej
zatZ7yMDnOmvL8A7O/Km1379MBZNm5kNsddH5v8mAdgbw8jP0N1CMDtOq0liTEPt3nX+Bwu3eIlO
+6dL/mblQ6mZbPCy7IjJknhNMdbeedpCZw3IKCCFfIb7hLOqAMTYxFp5Se71NNK4p7+3s+w0jSgf
kaSQbcYxM2WnJQZmbthRVUacd0eOwBnDN7CttrafSH+nG1VxbUNNFuqpBNlKlkWtxYch9/qTmVIX
QPxw5+eE3B68hezaN3arTdfImqz7AqTKzdg69nPSVgl5RPpU9OHQp87lhgBIYbn3cKIzy4yvyaW3
gVZovrqTjFanSDZOPe41+YMpaVXjiIjNqwq2CtqPMmcGARPnDLdlk0X+OrRbhjtiJXcBnXFIGR/O
OwMEIIRuzy2O4wqida+52lpE/kJuxi7usSaBefLK3x0aORA+bc2N0tnqv3aTnn7zBsAxodZ2PvMI
PE+QJrQ1/qYbI0neenk3OIk6s3HU73vDv27khLVqxbeMXT0ZGwC9jsZkgaCmi5pMCj0o9ATuLcQy
5vH8vvR5LArjAtt9bIM0GOMxQiQDsqytk2+mS8IYynGgbLBPyyLZWZUwvthDa54VSdXuksTr24Ne
VrQqDNO1YOcp1Rmh18Tt0SKyJUph1rihx9aV3JSsBkZYxWMGGtWq5t9rvRmmO5ST7V3mZhOjcs+H
04rIxf/Rxn1hheB/iqMkEromFsmJMaiQkqGh1pKduhp8rXiums7+UixUoUAqcjcO3VVkn7ws1Ynf
MJP8s0oT2w1nhcc7GlflPQ64djJwM7L5no0LrwrBJ2uNWnGZTsacWWOgM00P0SS0JtFP7sgjvZoO
Y0qm8HDfbU19WQyjlhjJJu+xMeP0J3wMMz3gBivzyC37+DgPVWaHfQdXmuAfZBiBUBahK41nx9AL
yMwShyJf1AMVR4WGCUh+tqcisVcUwqWYD7kSAMCtCWIqOfNChHbippfAw1aDSk3ptwpOBTgXB69V
avrJo7QM/gPPqLBH6M2sW6dpXYlcyBdJDE2NBc0/tb1WfU8HUDThPA7+k4LrEHv0vWFuEe/nAYbD
v1b47mEiRwPydCpUmDmAUvCOFf2FKpol39PVar8uUyq/9fqaAvIriFzXxwQgr9Pr/tnEOK2GR+by
1RVj0DMFunYKCTqQt/jgGu/I8Y7JlwfGqdiNXcMNZfUW3/0sGcm16DFm8la4Z5lpzDN0okonG8bV
s2untscv8dhO54wcO5I2vM7OCLyR/r1MeyLb4YiwMtuZ32V3dJrrQ5XB852chZyuJNdK8jLKlV5f
3qaPYxW7z/Vo52zaWTlzSfy+l7t0qGpU0i2Tgv3gN6tk1Y6bS6nmNN9bWtHfSrvSl9Cj72GHK8k8
LFdeN47BgNVBBnWyAgfWR5U/aFjosFr1ZvmIJFoTAQhr77tn1FSaOWyNFavCps/BYWlfr94m4q/z
ySmizB3iA2K5LtlpPhCsfUsz8aoo55wQL1aQFMvkarDUNJOGuwRWHrO7YtF2i6U1BpgWXAO7evWG
vdDj5gHLDHLvSXcvcguW0j7xy+F5mmA1BKvhrvsFHiFjHkMxBBFEyAWrMAsvMDOeBn+Y6JNbg7qc
RO+lAX+fF5pzLI9dDBjpbBxXUn346cgGm6QrnmE4qzEqFRHFPU3Hr77odJaufFi4Qu0E29oS6KOC
sof0Rdi5N53PK3xoCH2rfa3rngcorBvUCZJgBnjcT+1b3voWCWHiA6sCqTMuERBsFdawuLqDpIv/
3banS69sP0ndSbvIIAHufDY1+TvsypQnATFP4BhVei1K1/oRJ8QSRFPWNBhiHdM+EXBiuHvYQBWe
+hXmFMNy271t5j5P97W+dT3nwhWB025I0KQZp5ijzsDcoK/yJfKhHDB7Lw2jDejO6F+ACpjFcSjj
6za13GvwAMZDCkj6bs31pA5as3F4FDNMtYFO8ydGe1WJi4JpGw96o+KbWS9sEQiQn1/d2h/rnd0j
NUJL1V73sTlczunyiGBxk02AcX/Q8lUDLeIk/TOpLDWocIRdNZrvvHwq/IIvV6f5AtorFt0ZHcZy
DQ0e2Whpam2Dz3hEsZpAq+9QpKm7JPPnJ0nS1HLwBou0Oye3uyEs2lQtnD0L8oTY0vUNsSX1I/RO
bIp+UX3HUjg9rIAvrxqgKvhKdUlcR1WpNo1msmyn0OHBgR/fL4R85jV5g7o7E7+apsArDqQYeD8S
3t2vHAw6MyjRGzfI7HrI48sku3XT6+ZVqPuxPyC4cOMTvEyafUx0xwvm2naAkIu06opQHgRrFymZ
EsB+bLO/+39gGp2UU4N3mKqs/Ixeh69GqFjz+b86gb20eF+VA1nMKjkCKT9kHouVkRo/BAjLa5+1
61RKGO79BpacgIh+0K94p/7Ahve3Ix9LJ+iu7QPZj5rbHCHwT+pc5+QW6Y9f/6T39OEvJqBXv0mR
4kGIh+0f3ImuWGWBqK3LhHjM1Oi/D1u6Q08MXtSUfXckJMCJhqKev3/w4e/U7W/RxjoqUUeji3eY
DPUgbUMPlynBzIIZNzSlDgp+grZPDENKCBDJa0Wr9HPVKhy+Iq8iqy80+KjTt19/nXcO2C9mwVeX
Yl7hojSTcg66IsnElJMDGbnqr/w0qQ8IF4sw1tNxLzmkfPCJ7xRdL22qV5/ItjnkjpljlCAb7ZOJ
Twjk6syZgwXrhGp//u+eo5dW6qvPMWq4AKap3AOhENUuKczikrPlFDWAq29/ffHeeVRfPKCvPmKF
XwKuzfUOK7Cpy8F3rouZeOsuXj9S17z3Cdu/f/UJfVZCgGN4dHA87XHILOsmA2CKiGXRP2gsvHc7
3pTi8AAKZmaCAUDamjsF0eG8nmtjjyu0PhijN39Qyr7TwHjBFb36JXFniR6IqnYANviFIvakkXUS
eWXy3Kb1csqdwf1AFfPSrv2HCu6l6/Dqo5yu6HRE+ckxHnFstnUhb2DGTtdMmpxgHXrnaDkj6tQ+
qy7xoFlh3cHTMpNkjiw2j09+4f8sodVFdTrkF1M8G/DulIXHx1KRSWW08yTqBQH8LJIjWA000c7O
LFLnxhrImQFenQcOfWkUa5V7UlrWhcMiyp3GFHLfGgvydd8kbmg10gPRWvll7DrMUMdFXUxaM+8S
Vy9PZZEzHi5ga7CFrrtKZSUhOEYZuSNSCSrRAT1h/xG7/L1J1Mu/f3XRWllkSOgK7QAAsz8ZnDN3
9Uz0NibGPhKxyMBqLBht81w769NBvwNOyIHMS5IPHpA3DPF/9alfVutX3yA3ZWt2cRkfJtWTw+kZ
a3HNlNDqgg43xcE1nNaMcN77BmrDvv82mVMZObMzHjxiPKggltyIVGYT7pHRn/7ga72zXL8NibYS
2Q9CU8mxA910qFL2JLSc5gfthnfeb/PNZHjMDc2fY94+G5dAWBeJT5W9DHuK4I9kDi8b5z+8Di9O
pVfXlZicOrGAIB/hSfgRN3XZN5IGu2+58kfcoc8ldVXhrW3XHVkX8uvooDjO5i20xlyXs8KksIu9
Th5WBRai7P34MpZjuqdZgSdT+sQwFwWU5/pHZ/vp/tdr63sjrxfh66uvndSxrMaCec8ar8NOIdsL
QRGr/R827HVwbzrL+TF7rXVRLMI+AkEed2aqC/Ztz7+xDH++QiLLqwc/914kNklfvW+c//rrvbNs
mtu/f/XtPEmSz+pzUWOvcW99Z0RsQa80NH2gx1xU8UEL+51l80W//epzgEWVuXRMqIb+cuMLEk1y
vx8D17HjgJsIPwRXw3/3k97sBCXcZqMjofWgd/N0saALC6kVibL1dHyHmD3+uHT/B7v4k2x1ev7f
/zEFD8b7tIvHbpTjt+U15OLlT/xFubB+013bdh2XLAXsfxtA70/Khe39JnhBfRgYJn8EeN6/KReW
/huDT9RDPBcORKlX7CqNFBP+DEklf/2l/1HmyN+XLQc2nC+25BLHQL+ykbT+/hbQo5mEUBRSa1np
X/vC7vcjVu6HQZ958V5dmX8YFvz9hPrnZ8HI4jTOzyJQ5e+fteg65IM2t3ZY7/ooj4EsTSawQuJ6
x8OIV+o+zwDE2F2yfvBC/H3p//OT+UwyPQDVeW/LBW+2SAYwU2uXy7YGiFrS7UIx9uuf94+X0uL3
YUHUXfOtpA+u+GDlNR+S2t49NVVAZtZl/tEm8GZ7//O3vPqYN3fMmKhRG5+PUd2UXo0V7QnVdtpD
AwKV0Ky4Hw/17AqwNwXtQZAHnzFR3GLMkh+czt4YZP/6JgIWCzQWtAs8269XUEV4WeIp7qcK9dCK
+rC+1EKowaF9MPgnalm1N0IzgFQYDpF3i6UtLL+T73mGfvX00bTrH+8x5Je/vs2bxY9qNt2sR9Zu
UrKOWtu+0DYj2H92j13ygXD1Aw4kRgjc5bbIv1rMhYDVG2Od3eFbsPckTxdXTdpzsMTk+cF+8fb3
cGA0oNk4Qrc9asi3Z2Bh9bI0B6KmSBzHyZaTaJUMgxv9+gdZL3r2fx8qSHpxLJh6sHhYqIjreUuI
0KHVASDfIq06AuwDQarDipVtXPpAEGxcHcQ0JsmhSS3x3TKVv+IFJY/jaZDwVAmWJg9xOvm6Hs/Y
jBRiZdL8YmTDMS3B23wC7MwMEh/8NXCIXIap1Rhp2PkJPhOqeMMOF9N0+/OuSGcYXDCaCYOvmGvc
jla2ndEXglA43xAHjQi5ML3LcuHKnLK8scOcwuPKS9zb0rcvMnOVGbHAOoGx6OE2zrKcjb2q3ElE
yhuXR1cNtRMC5BEemghtKI7p9s9Dk6e9f0y6ucnukYuR9tCpli6R17a1H2lN5X+K2zGOr0dyFfzD
6EMpgyplT1pgaqmW/SiBPaPPVfTE1pJoY949wlLBldtMPgmP0T55BOTUUeL3c9TJqs8OA+RZwrRL
T/b7lbasGeplRy9Gc2saQ1lC47khHhn3cO8RLZHEFkHdGHwocNLhBMy0HMFbEf1AXjQgyhyrzbOo
58a4pqmGeAeww2CieyPcg2+zhbDAWdYuccd67YEiEUuQcgrv2dezmdaT68/euUQi7ke+u/TxXgOB
re/yeSi+WZllj7uOTLhlX6UzqLEcUMMaIDepdqXqifZp4BnfmJ1JkorjLN5NS+vtZlCWe0sCu/Pd
5h2pw6IYijvUwLBFFE5TG3ah1aRhDIVjiixt6X8mM6igiKQ3Ugw7wnpKzOaJeiCdA6sQsRArvdnE
9RjUGi1Tuakxix/sn0TeKmNqv6aiGsqwJ9/xoZSaB+8C+tQPLZbplRSlRgaHWYC7SHClurvGlVCO
h0EWX4VfYV8crZl5lELh+TN3uuUSJlD8Q8qmv0nKlZmASmdJFoI7TtdqaarPS6GzwMpGymt85Ziw
oYl6t73vGGtgVTiqkb1o0/08De2z6pu0OYFbnskAbrUOC7ejJZ/Xdo6zCMhaPQVwYjE6CqMrrgaU
rzkGKW/ABjalRTgx57g1sXKTKm8t6sqSQNJCjF7jPRFTQxpJ8jAfPerNEzHQXUmWp+vIgIQfm31B
x8eWLqXIcVtP+u2SlCP9SKxhMdk96M+J4dWYfuU86Ne4Y5kzt2RfH3WtgGRAWgZjpx7K7zOp5pN+
XgPUuNTIvnoyG4uCisfMu0Z6XW3B3IMawtEt9CfHx9nCqCHdElCQIdz58cR7GTei/lkTtP5tWJeY
4Sb4Pz3g6mfXVdwsjzxSxXMiEwOjs9yIgMmSNW2QsVBeZdLgMmUAIO+I0UqNAOFeU4Wtv/BSE2vj
XMY2BOzQcqzhyzKRKdQMy2BHKU/MXVnNDYK+vCt/r2imM4TOrJzndvHEyMVBa0z3tTWdo2iz8tw2
BO4KssYLG0MAL3dgIwbKI8OsrJJhO4O83cKAvQxHcxxJNRiKNokMQh/G0Eya+ski5IZVAAjzDfYO
MVNme+3vuq4xi4Exm0rCIYz5Av5kYV+keTv0JPyodNm7qbvm+76VvqBi8lN91zox/fZqsomPxjlr
z7d42Ohrp2O9EGWM9jRGP9jb3lncN10XrHbbMUV1Zl0cxNp264VBR/aTv5YjnDwcJPdJTwguE0FL
T8IYXxnePwN0zy6ps269bGQ23axaYpoYzo0CPEvVX+NDzJqdbfTujFEFjuUOI7/dYikf2+yow8tQ
odUVs3UUtbvdMB3iTSQd0fThytrH0+wn/v1ECG0Z5akmWojslU74S6forVSdo2lBXRrzhO9Lri7z
BStWoVzqtAzgbSfDbvZGrP60F9mBehdUJbAm0P/EL9P/3Hu566pdTqRTC6HEUw8ihzOzkJKk7hwC
GfQwieGbnSNpTFREptXcsxEkhXesxMghDZSlfTObCkFd486WvUt0wJ/kvqVtiyyeL78v7drUzo3R
tDso7DCVI+Yp2hah0zxywJRi5yXTdKVDeXF2qIILb6ej6mkivOA+fGZEHUOQG6mfhBjamEk5Og3T
CzvHB7KrpV1UYQ0go9g1dWYODw4x6QpQm7A+E38wu0c8+rN/pzkxF0yr4ATsE5NCL5ySJlYB75dd
h7w5ZKQ37NvTaUxTSyNxRbP0AJsvQA/DH7JLltWM8KaucU5iMeuj3sj13nAbRAM+sWf3RZYL5Dqx
WXFoXFqg7GPjOwE6FRtrrmEWXXbheZP62fS5W+BGzEAfACQgohTRbD8c3LQT/Vlh+ImItmUHACi/
bQN6uObnhN+J8MF0vgxD1SwXWqL1NSsZs8EgzoR10VowAgKRukO+7+JcPL2cd/6vZH1VsnJYfHUI
3IjOf/6fGzL6f//nMC5vWMsvf+CvitX5TXg0/qB7U4HaRGX+q2LduIyeyUkR4Qs58K9hy95vbMGc
iG2LItI3yd/4F5bR+I0/YLo6J1gqWf4j7z+hMtovjtd/n1e3QtVi4ulZjmdsJNm3qklbkGKVV1MS
JjOYMnCzlluFkMNEE3azExPaA/fiaVoN8QgtyMCf4vlZSo5Xm8AeIEzpno185nE0cuupT7z0Rqdp
2XPEqrSHJV+tZ7U2vhn1sjprGSnfIckG8TBoMykdNXPzc06wrDvSmuRdHQuTdM1qzW/HcbAvQLW4
beTPnf1pzlNkAM1a1QoXaaPskKJMFFvkds8XXqV+r6Tuo1FD4fIFkcJwxfQ8pY5SsTHsUfTzi9w4
778YuhsrVLvWxu7FbfStE6O8bZt4moKEsKbfiYBeE+wf0kIiNufduMsUxyuto8fa6QnQ6aXbjN+2
Az3ywNrhnrdmbAPgAfYio6YoHd54wYftDLMGoeooQ34dejleTpyPcnqH/iKCSZYUkoyqxQFlT39W
6p7GOL2ctOsO7Eqx790BwJaJFmkKcpeheVCOQFWiChxJvN2X0j41ZE0dpQTKeIVMRKz0wGb3q2GT
iBEKFBhaRBiwD9oJNASDaFIkba69gk/E1pWiW2m7HvOJb/vHxnFzGya+fY+4Mr7TMiFhavcER225
k8adViayYJH23EvB95MRYCF7DCWxco+yw+MY4K30TrpTcmJHIemRyaRhPSbfGXh9yDVkRluUmv/d
6WYrCRvHHr4TFT8PgZUDIDiaemnfkxC4oAXQiulB5YVLjhbTafqzEPhhumQoEkabzMycPDaVxhAm
Rr+5hFSLsI9wTJ5jAl+Mnx6mq5IA7S14nISVvudqF5gydeVrG5nYZMckRchZInearCasFw1WwSiW
Z6uv69+n1dF/zvWqX3NyRWtNRJXVQKECZBo2CjPWLkc7A+xvy1mIynZJvyeOGlTQ0R8G1EE98DTN
cfPkVnUCCxGIBLbRRayoEh04zKutLoH3a+lO7yscJsrLPNLD1657ypTnOYGj4JsTF5buDZEPYofE
xjmzB3r96M1idw1WmZhiBxADlYJj1k33fdHi4ipe/QKyROL27FfS5UJORcnhyjZt++CSE7mijB3N
NTJ7gqgzq4x3MJGbB6GXlhdWaQLnKDOJyAvndKqYxEqMsYe6y6bbjoDB7OSSsLGEToXOjiTB1fve
VCuo1k4g/GHDM2rnatY4xAUpLfRrZBLEhQGMKZ4Hw+u78853k4vGwR4fCH2eiQV3miXdAVbVRUj+
N+CjZaqbnwjNkt9zs4i/4H5ev2kk5KE50hzna0UUIvdOF83XItGw9NUcsLRIV8C6Ax1yVBZwpklL
AJTJ/OAxO86QpJjT1cQ2ngaMmMYnG+3XN5UD7SHoh/TZoFQVVHDO7d+IQretaAZ0/+z2UnODtY77
hxTH9HCyWP6SXdIP7X3VlsYtz5jVb8gFSud1qPMMiV82wdRafA1VGbydTx7D4gqjJg9u0LU43vaj
m5RktNVmM54PovGNs5GowflqEunsIixyPUq4eRqHM6f2uRyi5QwflrZBCvxoQpyAiLt25H+0SW4l
uP3IeLIjkWUscoTZ5OiNUk2dU6vU+ZXd9Km76xJCGomtwipzmalEimuAO/p3LXNNPYiLJPYORbGS
Fr6m+mYic4Z5vm5tIomOrUXhfVGDRaqgOzb2zVhoy3BLXJm+hsR8p3FEvSncO0EOCYLkZKn1M61N
0S93Y2k7cbCmDme8QEzt4syBWzIwokwx0n7XL6P+6K7K6aIFz5AWVsJVHCy56iuhwBaMR9OTS/fJ
tfWh+D0v4IgGZBp4au9wX5uQeFdvOeR04lkllkJ89pLSu+l5FvsAsDYn5nI2je/SrrXvaD3Jz+1i
7hU5gqnSUQ6VwwM1Yr/COGorYo9ajuPw5FJnjvolSa5scjnPevCWX9KsjMmBWv3scgWYbBxib5pg
/C+ehoxV1c0POcj1h93n3XXd5tlTwwnzPEkc43PMC/3DQB23hmrwAd6z6LhdBPvFfXaVGh8tW9Y4
6tKpHAivQzIJm4Hc6qDRM6+D5hl7PZgs4X22CNqrzx2qDwSt9EXmXTt0/Q5E/kqF2rLkjAo2OrVK
zWrjm8JaI9BHNX5GX59X9ksHpQxOvnuCZMRypIi2P9VKFQj/Zto5ZlPw7NEYksSyc/6eILmpKqEa
Qzawz8sOozGTdy4gVRBwfiOVM2PdNc4TsnYR5hKnPLsK1lU7ftKdDeSmuULEgW2MKZ0kChccAGgj
H1NX9V64uD7wlYHD/MB2Afw9yPw4v1h90s+o53RnRyLKymOW1uYTXHzEuzULCqU9xOxpn9GkenKk
Xf50Jco8ZoVO0+012lxfq7qeP9lmZkPXi3XnO9L64cEyLZMdVMxFGRQMvtjFsdv/cGvNP22Rbs9e
uuQ3fkvyIqDPCTtYZ/d+uWsSu7hdqjSr5wO7rV/p5xUg+E9jFrfIr+TQ4uND7f0zxzzzc9Kl/9MQ
jc7qVApyVVenDvBsUvNV0NNAcdSXqB6HL4RMMkyGcVY/pJR+ebCCy8GRKwzzlEIzdI/A2hnxVQwa
L4rBQv3SpWTb7VwC3UaK42I4xrFrjTt8ZaUVJhhRqmBILP3ZUfO6REiswZeCB4U4b2WyOOnz5OeB
lZnmg2eN4gHTrcTKhXE+o7WRxWiPZcOZa868h6GPKydM/byjt9xUjGIh7+sbl3/64uvVYG2KYvrj
VL1WCh3MXq/QGIIk7MexP2Gz8wQ0tiK7GoUspitqJLQNdlbKR3YUPT9lfm58ct3WpM6daY8lvYMY
ccZ4KaIl8Uy5s9xxsfbmXMHArShoHwcLcehh5eT0pXOTAmmCleQPJF01N9ASUxlOuoYga5Z5ccGi
TjqBL6bnkjiHZ06zy/cCWOCTt+ao99FccusgS5t8S5dbHfLOu6CCmqbnNXfi4SYlO/4RKaAXh3Lk
OBYodN56GGt5/qCyMc6RAhrO12XM1vNKpna7t0kT8s8aF3Bb0Kl4ME59GjdgyWi0fGJeUt9gv6nL
I6js+ZlIpYRkZfaOcyMeVRJ1ojImlMkkDQRJ3LonsKCTGQxGZpypdc0KdE6ZcwYFG0UfPSRQRX3S
EzXBM5yzaZrIeIGSkRvkWRNr48qQbLfqti33skGiHMh6Nr5wRmBWM1Idz5HX+v3nZCDMjhwSnOIB
QQ85UYmDjygXz5+WHf0Y7HOoidh0o6pb/bulWhf05p5LQyBrk8+15RPmq5VVTCetMpPPFXE/v3tu
BhO9yjk6BZVhYxbJ8W2c56JMbkeEyWSoKOU+lE2G0509Xl6lyGo3LEezEPFSzVBPNIRD4GKaxL9a
XYPxTMZrVlmj9sWqNNc6Zpq1GmE9qupMI/M7IeVisU85KOzHDLknC2y38BfUdh9fo6zmO6gqRu05
bcGyAboVi3n/SHT1HxON/yuIXxfE3i8L4vuRhYjS+PUQ19j+yF8lsfWbz3DUYhTrkxvkb5Sefw9x
dddgpeDJd/+se//MH3J+o9NDfoGHDpGsodczXOM3z6Ik9reEA5JjMR3/Fb/05xSV5KZ3LVioyRk6
/a0idmwDrLSAP0v6AeXM34dS0jQ7JzMcD7hmSs4e6Xku6HUzg5pWFI6X7D2jaBCok1wdlsC3PpdO
NZ/bkoBEGrtZFh9FZshPmGbYPPu0r9YgF0VuhgYa8T1d+O1/bmfsXUaxs8+mpIQXp1AxVl3LMIes
tuwp01YQBCWeBOvguT2uZeGW+kwIu12eL4zHv4l5pC60OZWPgUUI6RiQf167ESJa09wk+Ju5LwPB
GFTp2FwDMdTrcGlQ++7YyrpDNW4cwzrtmfIw6xnaCKHnRFOXwFQ3JLWQhPhpgt2p6pXIg9Fx8uYk
iU7WgklfCPYeIF3lt2iTV+j70l7Knef1BbHmRBdTo5MonkN5StwfVDTJp0pTat3r3VDOoZHM/q2Q
c/xTjKN8jG3VP3ZWzc8BCGJ9RiOQ3JmzOTOnG8ZyN1omZ6PpJbxE23JMMlLO2Xo7cpUgZZCUjkw9
jb1TI935G3ao7DPgDecpTSsyxqcsmZ1Q852mjWqDlLSIdsRUR7m1WqGxpaz4qzJ5kmR8p7YMlppy
ZYNS5MUDZx5CWvQ+HR/YfLaNlCjTq/Yl0MUaPP9LuqW8FORHdZEvp/LQNDqO/mpLhJFomjnvbDkx
3VRwOoLApRlRDNx0ZmVGvHUJSpKImRTObbNN14ie4dDU3XsvgTRYmqpv8UtMjZltLAIS0/gLJezB
nxmUv2SLYyXgpuW3ervsJfhmW1wpaUmYAlz4Eo6zbDk5JPRsrtgJKj78I4J0sklhYAQiScCOx9Do
d31L3SleAniWJS3ZPxypDURsbSE9zktgT1xUtRP0DGLycLUEq7j+EvDDe8SgMe4IkYmqlxCgdVht
Tr+gVD22Y4OtuDJGLT0j6mz+WXpi1k6kKkoU+XQ4y1tZNA3OL6fwb+mPDlTVdKyiUWjdl5kRlzwz
RKFnJyfu4vthGqnHIjHrs/lIHJdNlrFfO9n5Yq7TPcfsyftMsLKFLStFLI53EfngkXl+fA8MVzJN
0eieMCkt3DpIC2KH6ABT3HEC0jiRESFI+sgxsU15NcVYsANXGBJca1/A26womLMLZSp1adQMriKK
rASpvhxQ55tjjSvcp/s73MQgWx1o/CagtUzvsXHhX58Jx3HqhLFR2mdZtR/ajM5CtWTGeDZJm0wj
XUM/EuRlJWZMOLbkSJPL6YIZLuVkrLWMISuGCtnO/qPkdEiP4gs6+q1RJ+195us5ofe5sAfSMeb+
wXkpYIdy8J8r5Qgr4tSlfQMSml8zCaHsrTkNa1xMqmGBK+tJ/VEiz1Jd0SugcJ63Grp5Kaf1Fhwr
nhB31TgpbCV3MteU343ZNl87gtCYXvx/9s5rOW4sS9cv1KiAN7cw6X3S3yBIkYT3Hk9/vuScmZao
OqXocz3R3dWlKkpIIDf2XutfvzEb/Rl3KVp1+ALTKwxj/0mUleAD36DiE71Cp9hlrM0q8qFb21+0
cJLhV97ggOaGDBCjUNdbU/GTd01Ucp7eF4ogxwAKY6Bn+oHoeoCG4gt0QFtnvmlfUIQSGOZESkWa
xuuA6vZcWTomPxbzEbgUWgSgkX2BG0Vby6YjIGa9K0f4yl6mKtukHaTZ7XsjmW8iAqCSZo5StC5f
EMp0Q1OsL2AFEWx2YHIE3IJrANALEcLUWVZgGq0dGoafeRXjrM2QdLWBZq7oBY/NzYm+QB3phu9Q
evCzplpXgjN9QUATYBAGysBCt6ju1fhfYJGJdMXpbhgSskdauyIfRZotmGjM5MGbCEzucACPNWCo
4guSGs0MeMr6gqomYk2rpVnX6HqYCVaP8hespefze36DujB4uu05XwjY9IWGiWMDMkZsFChZ10cg
ZtYXegYyhxg9jRrpUxs0pJPdF9bm83WdW+yQXyJijWlClU1q5KZjkdfts3lm02KYRp0qFeOWO/UL
1OsaXb3KX1Cf+AX7tQTbvJFzK2MHfcMFoy+I0P+CC60IDrmNlTfv5vwFKU5RZa7l3peATrF1eui/
4EflC4qEc27sqW0BKIc6o8MVFJLcmYAE3RIjzuxJ97k/0mbBORNpasMlRrs3+PMLCm2/YFEk/uGd
gBXoY49jHKBQThlANB7q3rMadyLMg6m8BDn2hVj+MYYkfk/XOOOKrJywgkAg9r/F5G95lviS/9N0
5fRav35nBH79lv8uJtW/ZO1W+qkyR6bO//6nmNTlv2D76GQm6vwbgq8gVP3fYlKQrL9kS4KqRx3w
X//yfwYs+F38pYu6YvKHWvwVo4D/pJ78jcYGh0q2SORSmf3AnfhGaKYMM+WBCEePEOhrLsm3gTXt
OgyPP3GP/v5KumGJkoIc6EZy/IVM1Se6JKhx4oHzTYeyE7UTQSEqrHWkvT99B39DPfy7S91GUzLj
I05T/ZskXFYh58ktN4Vr2SnE1tgRJO1S1f4fOHE30vC/S3EocTw8RcEJjP5BN3iGv94SAzJirBIr
hjgjkzrejEwvaDOlLRYxuPnGGKL9843dntFvF9RMOFy3cOH/mpb9REjr0d9GKmaIKBjq9GgVJnh8
XO8FU1EXSWgJthY2zR94nJL55Yn8y2VNUnP5zmA6SgSIf18kfgaJxWqU0CNgxjgJZI19MM31sXrA
QUhBe33tx3I4TDephdI25YrGJN1AwTAOPoi1q9WYpGtlkj1aIKuLGM30pjdE/TSHWKCqGTEG4dTV
8MqEciUxLbrGSIaB08aIiq5JfWfOoIvbWQGpuexTc6OPRfKc4vPjGXIIVkYga8GIPylJie8RJdgT
KedPPqlUCLwT45lwtmwZkpOg2s3QCEezR+Lni776ovLVRTgqY52c1QnWk23XTjuOyvbVKGCnJH3s
0Cwe+sYgNkK2egd/XgvXJqWNeR6GATaqoXBAJLrlQCP7RUp1XNAj4VFSQ/OgGdXgSRnxWLreVZGD
An58yClKl2RbRsdkMGU7LfVorSKsX2li9ioWFRHZ1W0IRrBAAFZZSK810oNrSR8DYjMSykKU5fSD
1Fv4XuJgpgtGNt0SKATNapr1vSvoHeJfK8KD3UkpUI4a8F1r69WYopizgIqIhtiFqQaciF4wcTnh
6ifMCJIL9exwZ4SltDanWHNlYdYbinH5TZ8VLD8iMbcbMCXFnf1I2I1yYJK3JmqgSmb3I9AnwSY3
VroTlPJGsi98LXKmNot3eoFzR5+l/rpG5+nJM5kpfm01mxBrimOc1sEJYo2/lgzCbWyJf7jqMlFA
LJqlMA+KSVsk+HfpzCdHuEyp3G9KkgGuU6ZVOjGX+SABOmXGpo218DmA/SgRAU4XPPcplKEwIYtz
FpUNfOv8VQ4a8kCLNpZ/cGRTvyVZ060GH28niJe1DgZbmyspioDlEcZOHp2g5KpZ0S/FIjpGjTFD
t5+791uS3SYbLfw+RB3MGql8LV1asa0/OlFstrEf6LjL8HBnjaTUqGEy7YDch72dV9RepQx4Fqdt
9VTpfbDW+1hBRk8OZmcJoeEqHcyTtCfEoc8iiCtTP5BxIWkPDBOLE/JdvA+CPHH8ovQfzXaO6d1j
UjPUTNwg1koeNASMBJhX6cskYMdSQdhBh2R+tFJOkZ9HxhNDMcBPvZ3uIisLLnCPdJJHVeveBwog
xFc3lxR+wcYiyWqPX4U5MrySxHtlDkU4kqV/kKSIaSr2xuMV3o3ooqj136MoCI+jlsfOPBnJ1oog
iJKK1zzR0Rkt2RdllXoCH6P5IYRqGXryZGXxqs0nsYDG2beia1C1tD12Bzd/5DpplGoZ9HJVEaig
j9m5F+WYNpOAXvE9t9IhXYAtdv4ynyszX/oa7rq2YilFsQ/pjleJ0ljxfZIoimQH0PneG2pUYzGJ
cM+8IALewyqAtIs9+z7Pe2Z8YEJXbNWXuRL01h1BWowFJqRd6wpwVYaNHpUGE7bAPImkDBqxKGlL
qlU6shpv/sEFDQamzEmNyV5Rfnd3UV+oiatRixke1AZ1T/gUwb3oYbJhE2qDX2xy7KYfKeLUnuGj
Mr7CZNd0GwEV/KtKbsYfnQj4gra4UR5IN7WMTWKE7WdWNtNVmrJQuYsTHyYtTT450EYmz+G6FoRE
dTMjIwUujAH1XSqC9IKZiWkLkX+PH3C9FJGrooJTBcdv2p2GGy/a9oJU28bAr6KtcbrsmdozIiWV
uBg2AVBTxTzIkcg8eoC4WGMzFsefajjNDtNMAigri9xFltPID5YmNC9cJpf0kps6B7hGgixuhU5n
v+B5rIVe+CB9oN9VqlCeIEVKONV2dHmFJq9QhyO7n/prwvIqWtEZAszeRK63lEZK8Da07pquOda6
vvKh2ZZcyxQXWdUsy0DfyMZYuWZO/nPuq9KRLM0H+BtOPodLTiCSIuut0Q5bPRTWWWls0zF9GIbq
SSuqaDn60w+tkl6VHqJbqy6lut8xFr43xbC/5xxaMjlciToTDL1GnYw4nWTpgTQNXybcOQi6dZEX
y1nWAKb0+SGZeG1Ia4GIYcyvaVTviiTZc0rCcqg/cSxaFop6VCGSZWl5Lar0nCtWbpNqvxx0ZRmB
pL107A1QY29Ig4HQGpsLO8kb9dDn/meoDnek7BwNiUVi5edS7g6lIcM5C63HmjQkx2LIg52pny2C
pjmbJeuon1eGWGFbCZdgqgDZ4vDHKGKY0012YH10JZYJlWa54Zw+0Ju2dqr1bJkpbUhCwguRV0S3
5DtNG58j3Vgpqub05IUrN6pmInlpnEHxa1/rnk88S7swmY44SjOPbW5G1RL1ZjnzE9WiqQccXo1j
2wykAIn6IShkzn2l22uqKV9Vo/Y03FerfoTzOySOzuh3X5n+CiiMdSRnK7hvCxQTzIXS6ZmclxLb
kHQzDK2nRiamKRJr2C8E2RnQ2QEeCuqyG6vCDaCpQlojuFgaUNMVZmUbhkYUklU7hZnC/TbkJVNt
CAhTfRJCmlbJ7E2nVNT6CPH1pPQqNoP+qBS7dIZmS2h7usD/cKNiKuQyjmix8U7vIo3SUEzyPZPS
YJmkOQqcaC3O5lZrwte0SN5zRawuoRp4kxFOtirLmxioqL/5JjG5ulqZuZ2qQDnGQpzjTIxjLhfg
5uPcM/wJf1VFXBitwLBxNB8nf/pQS4aslaZ3DqMV/H/CLnXmBn6T3krGWTbi8gDeQkQ3qnlbFOtD
WZLJN1pCd8YS3FpbhfZE980ja6atZcT+Qk/FNWNdcUnafHvp685fFEVFLq7gr6xZHl5lYQz3lTEb
G0SyJz/KV5PIiFqFgLJPBG1dmUKxioZ5XQdw5EdDeFE461fIKHs7M6U9HfQ5HwkgrQlcY6oeEyQm
mrg2lQc0l81TSIfkDHUKDb+RlzCtCY5qErftoidk3c2iHhEtY9PDzwSNM5rjuemjh0IaLgB8W2to
sPaQi5DF7S/LQZYPkiHsMaEhPEkHViva8DpO4kFS+rWSlWdLmTZd1Ox64qpQ+kAQcqFADsuqMPeM
OmfPFPG3qIKtrtarYhyYsmv5YuoIsNdAqCbpM4mGlaFUF6j9D8D0F0VTDkFS74w0PCVW1y/6mVHp
NN98kToS76fxhw4rYsJKRU3MtdXWq2YgfrxSdwKvK0MuzBabZA9/5wCHM16YZnQoeulNGTN37uA3
t3A6IkzkbUkwXyS1ugSTlDkMLo5Axx6UuwVYx7Fu0gTzCwzBw1nY6WJ+187iG+4BN55274bCGLm3
LASW7BBuGgX7kpobD0xmtdM4ghmmhJiEQ4cBJM+Fc2neYTazm2PeddyD2QsLgJso0pSLUbVkEgGb
w8KWVm0CgjvWJklqJePCtuwM2yrle6GR1jmWOZ5YwwzOxH5aWwOh30Itv4smX2Jys8kSVHD6RPhR
pqq4gK+sb4hUEdkUm/u0UK952AkQ8nsksQN5Yo2sWVDmlDo6a/XN7YZxjc0kZWb0h7VLZ/Y/+qDw
nbwv950+CJtoEOA8K7elYj01af4y1rlrNPF8nRm62mS/Iek2OJywqK8W5YAlJQ4Uj1rbT/yRwzMW
LPss5bxBpcazxX6GpL9GWqkzaQkt0pd3uTfeZNQoUyNsp7p49ZFreyO2X2xTnqrzeNMgbRelDmxT
ITJYxCGoff3Fbwj6K6MUDhdYvdw/t6LnhzgqP9Kx2Zqij02cfjNfqhSCrElHxicCi7iRSN69GFuG
rWWNYLdy2mz9viGctwXyJlTvhpNLRb7S4yRfFrMei24uljE1awArukIYoBTTRzZ3pQvDIbzNO2/x
dmWOlr6qli3y/RygOSaEphHHB3yXxw0Yr/aDOM7kjrirQ0PYFdL6OrvOHYo8pEhko4a+vMtQI9Nn
tTrUjNxAnZBRH4tE5r7lAKKBI2eh5GVKYV5xlqcCCOj5bu8iqy4AiAZjKT4k0rt3QhlpD+DVFrSL
sF8iSsGBXM/wb5miBE5OmLSWZ95s8IM+DS/M8vXXREzHVa0qe9KgwsUgmskBpXT0EXeM1lzFavQX
QbcEB8yfYAiIOaHTBn7SQkOx1rkZjsiDGnFaRx18MjseZQwmcBho7EDK5F3oj/GGhEgUHAPs8pz0
o5Nv6v1CH7TxUCPlubZtox0VQh72dWI9E0rFxB8K2YefEvOGw3ZLe6MHuhMkrNHCaotdzS64VCF1
4X6f6Nd6ymNPVDrt0OYCkJ+cjgsfZpZbMnDBEUTrj/A49Yepb2bcusOOJmoqm70+9Ma2iSQUyjEx
2ufSCiDs41LpKD4kJJsktsdoCuUtoyHpDDiAiZgVKskeq7noTggSyl9fFIfKSTQ/WbBijR9QrQqc
wgrzcWQVfhpGV3t9PMhvo6WkOzGZS6fDBmsbZnUE+kvUTGfjt9UgewqGDD097/4G97ZgibuJsapU
v91rfpt6aSR+dE1lLODRtlgchOZdPI7KsbKk6jrMsuBOzUB5lknrUJt9ol/N976WoBCykWya2eKL
HuXaDcWymBiIzt2l1rIbqmHEY7XEQ6rK3fH2TW2gjwoDjJ8gpGrCeVdk3U47MZMV1fzMcQ0yC8/U
WA4nI5SnqduLahVJg1sxVIzxXWtJXG+RMJmD4lVTAoU/HXydzKbUSPHDGgVp39QEoZ/0xJQeWzWD
b3tj/QEdq0VwydRpJ2mIOnX0VmsxDHp4w8QgLpnkMUCaNIVmC0qJ6g+Ipgy98HQ+PYVoqCzgOsgL
SUqrXWnKoQfVpXFJZhC9YqpQhZnp5EnEcy47AqcWkqUPq74TKU/m3quViYCdUHGLocxhVOUGEEys
EsKptMgaZHOnSKqJRsg/VQPVkoRPGZ6b1rgsOPhnB3PQW9ImX1dS9ktuddxADCuXtPzXqR/JbwwG
c+1PGNSikvLidgj2cTM+oy760CMsdyeBgIFeaQWvF0Jlg9JhqdbzBbXHJpEVcROQYYIjLEOnMZha
N50lbTGOeJP1hPdtWijYiIDMYdmlc7oNoV9jUsMgUZgU5cm3MB/gfV4GooaJPbzHBZSsziPOZMJG
Qb3zZYrg6aaIjmKLjkJmHFeiY3Gg4+jbVmZ6oGlCv68zo1z42JCu20IjNzDzZc7KeRQOzIL1wZQW
Y1sIroFBna1p8xuBdqw8RoIOgZ36YpLwB4IQ02VOFupnTVW3tTbpnolbJ5+H0PgJOnrNOqrswioK
tzTFNRmYxo5XeeTANOCtQSqHdBeqx7osD2NERlOoi+0iUEdrU1mDNNmAWPFjU2RQNJsyGNbkur6V
qKYQw7SJB9u+9xozKZZoPlRPbQLSHkUlwyWxeY2mOV/gQIa/RWQKixBB3TqczepYFd2FGazuGnXw
0IuQU4xpSLy6ml7GtlKhBPYMrHCaXPG+G6tg1Jm8VBandS8uigwYos8l5WnK8mrh35weRnACezCV
A1DnxNw6bVy6ysylxei2GpYpjtIkAiUR47oFjCG7oOJwMomFGYiJD2UVUZkRCP6WRu1VlJNPNELb
0GRrxmw9PcTjZO4jyz/i1k07Ucv9swLRcm1NsOTtolegwskkrlUER95rPbsgiWnnshWjnSkQBYo8
wFr0Is400D7EZ4mNeV0mYu2S22ns2eJjR6tMZFkNUAYHQcdAyEgd3OJkBGOGRo48UspUlsanGXjV
a3Rz2oGDZ8d4HCYanTh/E3x/OMMa1aA5WFr8rLV54pWm5K99bt5rGAN6ldyqAyme/MOOif9GFskw
F+tWvFilFt/4/vA8g0wQ782q47AUFN2Lsry75qR7bOnFS6+osZENBOKGiPio4Nnm1hqHawlTyDkG
2IzJdMRnzypvWnnTPwj6KMG+rx4m9FJIGRPF6RWD1anUOBjKcsakP32VMWN0OC5Yb1jezapykIJS
PBIqJLIvWVRlRpXHI+oJjHHcZLKMB5l8bBdqW7AcrVrYKBZyTvJqM0CI4j6B5A8tVMKhLjQcPy5U
ikWotwPCC3dCuWpL2vzEcohXTY0qrx1iDEZjHMFtuacEDXk9bK1npagUyo30kqkkMiqtBOisQAng
fTrpY09WiZmZiy4Br4+lEKqVWeongjyyg1orB8za0saeYdS5DKL1tVBE920q3UsmzN0mD2nkC436
b6o0289rdgmWhFlboq30iaO0+kN1Y14TiUcJMy9I6obina+tLvfUsXw2YnMV+8pJmcwXDJPfKKU0
Sty4X1aD2R7RD76r5awuYrXJPF81aDua5i0MBsx8ymlNqCdNXiW2a6ketBPvXL2fi6Td1RzxqyyW
GrfEYG4VVsHo6SWuv0FkCOKJKNtkMw3RXoumR6WaXgU4a3Rsw3TNZ7G5qAMAR9UGweSkdYY/Uisf
yy6jzESKZsJBlwaEWsO2k7thkWu59eg30/ioKSV9lGIKe+z+910aqTAy0UwEJnmupLNe9d58MCx9
C/8gXaTYkqaJxglXB/AQx+o516fKlf1hWfbjxiAxgaLBBdDdTYZqvlQT52gSiij88Q82uutQQ8cf
TTdL5otepqUDAr/QYqCQSCz25AjL1L64rmlxi84wis5D3bgA4C45w26hsRbjrloPebQ2Ru1gRNaT
VYvbGL1Oqcq4s8SboFJX5pzdjapoLiDGOPiprbqC/dKKzo3Q3aHAu6/zzqkLcwWmuggJY+yAQ6ys
3wRN5KahvkDU89EyIGiI1Jv05pQLs/YiyySDQzRNJQ5bFJWuXAlIAWuvKab5MTay1dxjrB5qhGpP
XkmhnqbCtq54e3NrqxjSIvN7bBV6E+fTEf1MczItZWFp2UMJ+TmM6mcC0vBmpDW+tTZzsMHtFsJW
SfwniSxQ45/7DMO4BEtyAnvKWkbbgsJrM1n6vQ8ZCY2/l6odq2h2raQiih2GaEw4mAHyr8ucb3Cv
bga2dpC9Z0pZHcbMalaDXKD9mzdwT8qnQVE2mVYvw35YqyGneuSP6yBQ3LDAGkAlBxlwd9cW+ZLG
lLXqK7sck00AA2cMG6fnkyZB8VzGtRvEUDWsyM3y8sQ09MkQ2AbNgENb1HeZll/yBgAJgjbQClGB
uLcvjEJiKiDxZXRObOi70WiWoU70RJeeFKXESTYOHbjPntGaC8FK8h2Pcm9p/l3b1lQZP5RB3jVR
tMBk9aQO6rZCtOA2KXQVPz1NJjSbeeQPAX2m2bHkHk/tYBcQPkREdnbFq3WfTqBfnOhKK7tzld0S
jETcJwflHIRwZGbrBedgTCxx6ePwAB8VVqMce4oyy5B7xx1s7H1jluwX5l7oyi3qezfVeJeFYp37
tP0d75g1Mvizy6GrMVHIzmUa7JQ+fhma7jQFecQIod3I8eyEkmZeANYnyoDULfyu9XRN33cdJB5B
uAGYqL7zoh/PSiIDa0MYUOc2PnHgn1O93deUlLOYACDIQGvcfdJjhKtZ7RaP6Ashvkj3jX5bpg3W
wQCxxAYvI+SzpSptx6xD+jaQJAfsdELgtVOJSHL0YLhAh72Gqe8asUzUObbdudIMXoeo2G4tdlMf
dbodkpmwaCNxFYUYLiusK3pbT4/VF8X0yXtPuudC7R5qla0TQu7sJo2xVeXJgItWv4tDx+nSfY7h
uEZ2vFYxOxjz6Lm/GUho1b2s5SbIe/eSKv12TkxrzSziTmXXKpkNMuPEIDB8m/ppE/aYE8f6abLi
VWD6bJcMe27KXrf2rYUh1ZdBA1TALYME62jcVqq01pJs6VvavTkLR8xF8GUXZnQLgXrtorxxfGxM
oZ7vhz77iAn4Gyt5WY7C0dLDVwtGlgPusvZVGr9bK1dw64NQHOlNXEVMtloabn1rvCR6delEhnmh
1mzysjlw/r0UEem/umTep0E4LjO5pX4yCLlmKuhkc3406mRXY8i69IX5kQm2PWTjFivbI0baM32F
L+4w+o6uUkAfLnTxeMAOwScEtAioNHq5u85RdpfEw4jIGpgkEYVgQhZV03ah1l8bqKfhSifTbpBE
2EDWfChrsr3MhveC9yNdN1NlLINRNTESVspVWxnS/XSbC4pBCEIvme1kG3JrrdMRHZzc5QA+Zk0e
70A5+ySQpTez6Kx5G4mKtIcP1TpJ26TVoiCf2pPq+lYCmfqCQTJD5CpNVkmbhteMSMy3RJHjUzpV
oD6JNVVoSHzRRTstX/op0k6KEWJAPEVWgPA9ET/63gKJwfqwYyPyYZsHPsGElRi+peHo1ys/giGA
X0nQPQtDNXFCDsVwIsa8HHBxNjsOKzLkideO3giXIPg7y+tzxfRwVSSycVUia37UBY2wi6w3D4JV
SZB2UzpmKwpmt+lV0cPKeDwBHSrPvhCKLwNI8gpGFbwqDT9L/NFF34kZw6VeFFgVU542W/hGNFwq
vhlvorzx/BIVEVrP3subIHq1KgMPm2buXH1sR4epukI9Tq6tHrcwhbtRWTBOgAVc+NYFl3BCwsWG
vjGluIiQZ8rKQgIlYWPvhz1SFMy+Jw0fFzOXh4c090cSDnpj02uD+RoSbreAszbeBUmHx4qJo+eg
puM9ClhYjZDvAghkbgGtE7HNwAEgWWK5auS825i3BIMhat7jMHwxWq09RqAHngSh/q7LVLGz1aLp
CQpPivU0d8m11gBWyyEClAFXdedakhyj0HIcTMqrCNGQJ5EGDCUBUDVjfsuZDWLRb1nDehQanGGa
lv1HnI2FYVbltirqnBeIra0KRFctpEMB5r4Ygd0uljgn26jVlhATzoyGlAu2IdTBZFY3ngirxx3N
PPd6qu3HsRnJlMEK25ObNiduQeP814IUQD2aeq8FQnVlBaipVwAbKqjCe78whAMJnlBajR4io61F
I8hF0adHeRoYmeVqsFXrceDsGPzbaQLjwsb1uztEaF6cTpPirR+q8VksjJeqlqsF+E+zCBI9XVI7
WWiftAwT7YKDvcOg4CD2RhGxAhqGTQkBlBv8yK2r1SZYQzdd0bzPkk9MQtDV2aIyhu5olmJGu6bj
rd/NcrfsMQui6Kd8o8U31OWsNnVLWQCJz64xAuBdAz7Z+/WobhoMOTdqUqZopqqZIHY9LJN+kY1j
vOoYgN7oyrFP7S/X6h0MP7l0tVFBWWKJIABo2axjlnVIaMtJmKgY2+kwJtizoJ5on6RGylZJH4Wu
pSFdGdtW2yOgKfgzBf2AZZbhaqjteKZThoYjLmT7X3MOY6fsJKAES54QYpqBKPvs1z6tRJH60pOl
x3r4hLkSVj1jyGTLNTDdUNb/anGnkSpGkV7QQ7BivEGiCLOxthIPemVgkfCvJEviRlcAKsrYYp4V
RlwLJ6S8Gx3iGMOHwFfoib+4Qv8r9fhJ6iGr8NX+33Z9Dx/5x9x9pK8/az2+fs9/0/Osv0xR12/u
AsQIkAvxb62HofylqAaOAxZEK83UfjLsk7S/sD/jz8FND1oUmN//sPNEOH2mzu+x0C6ZuowfwH/C
zpN/ZbJpmq6hldDxWJA1lCdUZr8yzETkxJlQTL77cEQcaL+/RPYpso+BfQjtw+ljeb/5fHrfXH96
SH9Dn1O/SUx+u+o3qt6M54uWkVLlvlT2w7mw72Ai2U/84u1jx+q//fpj6T0/vh62D4fd6/3n9X77
fh7sP32OX9huv9/8N+874NZRmBNuvigeJPGtDs//fJ/Wr/y93y/wjfwoj2ora7f7LOynh3NmF/bL
w9PD9u2Dbcl+4r8vmT3bd2/Hy/r4crcO7PXFPq0vl/XucLnsnIO3W17Wy8tlc/s7b7Pxti/Xw87Z
XDfO8/XgXK/b49nZfG6vh83Z3W4///D5NRiiP9EBf/v833mOps7mLnR8/v3L/um8We1fji/bp6fl
8m67fwpsb3fZecvNzrtcjpfj4nj7iJvz9by9eofNH/zrvozj/s0R/P2zIKj6md5ZAE+XDdUUz/Lt
tmx4lm9vdx+nwL7Dg5HHePm4i3iWtCb8LeoG+7L8uPvg8d6Nt9X8yE8+lvbpObQ/X58Pn+/Pr+fQ
3ryeWV3Pp09W1/n6+fD5jgcX/3k4fz5UvBBP593u+fV9+3kN7fP7H56v8ivd8vd7uj3/n+iWWBvI
ugYrx3UXe3e1d2//v7Btb71YLB3bsT2HX9grd/Unm77bw/qnh6n8emFUUGNK2+y73CHL8Pz+uX07
Ztzv2+UjsC8HnlVu7543D6+n18MfvsnbW/VP1/5Gam0HlYps4qYFfVXpj5H4EiSniMKcCa1diA//
/A5+GdZ/vxx+qboBmVZSzO+JWSRddyn2Sb47l9U+GnZdo6wyc2AQ8lkZmYcQ8mUeXyNB8fL+ovaP
qkp6rLoR5tcpuR8oK7u7QIkO//yp/nbfBXPVVAMPURHJ/K9fADk8uWgwmWQ1373h6G1fIvvt7fS6
O70+nw7vV9F+eP/T6yz93bb780W/Lbc5rCvmgly0ERnPao8GkpyENnq6mlZg1y0CJnMrtX8gMf92
xMAmxhjPkhTpdqSZ3zbBCTsMzFgrxPNV0LiIWWeCm7IhcKe2n3/883P9fi3DYCp2o0pzRsoYD31b
W3U/tHXRQhglMajfN8OkvPbqIF/qOMpO/x+X0iUY9hzsGua6v36DOLNGotXHpptW7XzV5qCNnQn7
RwgLc3b/z9e6feyf1/DttjRR5kFa2M1SLPx6LaPo8k6tDcNlIqsdrUbzPVIR0z8syr+7is57gl+F
QmEhftsU+hpSC06xBmVtR0D4YBjLHIak+8/38tsqvN2MblL6qDe5AmbBv95MqUUQpick1XIz6osQ
AvzjMKeB4uRo9TdRhhrQLvw2dqvEhB2MivZHnFNQ/4HD/7d3i5zWhHvO+F7/drdGFyJVKsByYDvq
WGkC7A7N3Dr/fLe/XcUUNRjtlHeyqBt4vf56s40WEpnqd4rbNXW0TMwZ8RYys+V/ehUVFgZOVfix
oheQvr3YAdj+EOoGRKcKkX6NBgoDESv4wzf328uFL69En4jXjmRYyvegDh2Pgli7oecQoa1NWEmW
07UKRoVB9CfP/5s25dcV/+1a394ui8iFDI/T0Z3qmDikBFqV4VRNu+o6fx0bjZcK2WOBaVDVGw7h
OyvWmSdU+kIau5XE0JnhsKeN86uiqy42vIxnemT9inQ/xv/pRnD7qChONIu6FnLgt48qSr4C+4CP
quRxsWhN5UkxGeFEMYye//xrJpZKFRVeHYvu4dfFlLRmlioF4k5fyegDNVXcCZpi/GHJfi9aDe6H
xUpDwL0gMbkt6Z+KksJnzD1WmExGZm+AhkbDIh16+aBPsOZLMjLX/3xXv33XaIzocf4Pd2e2G0e2
pedXEfrGV1GIeQDcBiojB86kSGqgbgJJMhXztGMOw5d+Mr+Yv0iJ1cykihSLRPex1UAfSGTtKfaw
9tprfb+skb0uWwZclt0Kw1oio0cRw1w5ERfGefM5OxVfnXudh+dZ/QVByc/DxXgWrMfv4YVz5C2A
G7xgkmyJ3Y832P0m7PW568tESjqakH/WruRL61w/y7+bK/9I+9jhRbqweXn9JF9E+F8OqwPtXLvW
X9h890d9vwV7u2IbaETNTNnLfhmR1I1Era8vVaM7yglIeX7Ap8487iyhvJpGnpQDTQDLY1/BQoqM
Qq6rupsrLTGtij2KKyDC8tcXavlFNTxas0g1Zio7/d6Y+oXmKYQgD3M9SA9xd3XzoVW+2jxFgMwl
OUHg/Y2JwfikKd2qJ3GmcT5ZKQGShQf/wh5nFiGrTvl17JaNAWQlOE5Ed5Dq1TyVTlUifxUZ7wqB
qVq0dghkHZBq6m4U5aaH9OYVh8owrEb5XuUDytIXi7RnNGUWFm7lOLzP6wKobLI0eKt65cHC8JqK
bOom9o5t2Vvi4OP1E+lOMnp0N81H57aPff1bniaLF0b36TfEptI1g/1YtXRjMrIfVRIpJhloeOrm
+pDKyIa2Hwn86Y/+SSWc16R3mZO3YbcSwitEJelVNydmYJg5AB1mSW1H/6ArjJcy+TQUvCV7pjDq
zoZnqVFHzF+lnRiWPkDpbuwXdpn9qxZfBQ6lyQ5jqxqOwGn9PRowYjdNJSjbbt7H8SRgmOB7hAh+
2pNjs8rJNnLjoVdPnx/A/avOtlKLmCW2N9aAtbeoPT/NE6Lsu3lb2fmRJcS6JD05dMdEIuqE6L54
ppA3NE+8Rnn9LLQVC6sbYCU28XbTfdRfQ0ulLI0zRtXQiFuGADDHr6u+sHH+Yo3b7CUkktLJ6SKz
N6ooAMmjkFqyu3xrGRlJc6Rw6r6gqaLsb47TOOqTO4zbEnH4+1IPUoLadV6l3TzSVY24YYBzJcqv
F2032EexN0ktx326rNAm5Vc0ZVF1eXWDOP2B3qKiBmbfmkVJel101gJk+QuCYlvzam9DtcmzxT7H
Qocmuje3fLXBOcxpOVeg7PMGU4vs1uiV4lyE+bQXxd6lieTtwcj9lIu14lcfq54nbFc2ExWM9qhm
d89PvGli7bUIfIzBToR1S6v2bBJeLE1CfEiQx5FOzMagEbXC09MyabqXlu+vqgKAxu2abGNcnHub
RKA43eTfb+aN5FcEwMIe+xjpiDIif+hV7QubxdTw3Y6xD1mkwzrMB+z2vc3CKGy/UPS2mbehTUyO
p/azGm4ZLnrY3QTNhSejJh8QMXtZyHL/gmX0pKuKLNtTVqzJ/0zLane2k6IkbLKjILJC6PcByiWc
QrxOJ2iUo8OsvNDXJ7OeVaXCh5BJMFaodO8Alcnz1JJBJrI4Ks8Tqf5aaCDMPWv4xou9/MJ+8WSr
gtGrGCq6Mfx/0rX3bEsJiBWx8lY89yKrXsgDgYhZMzaHZl21lxWR7hxnXbICLmsvn5+rT3bmbc2T
/cPwstD3ak4kshNE5cRzwICEoUrFiWgK34W2+40st4Msz/wXvuOTXYsaMdjhCDvskKSK737HUKt6
/Oom22IpZLdANphn6TyZP9+vvc9nTvd1ExOAJajxf/sqMSmJQkltjQC7lcjQTlI7TKpLGB69Niku
k2SUB31cvHDi7E1RKoXIwoyZ6kSOYN+2ywxoFXYtEIUriuouJBZzBeOclyuydbX18x3cG8apLgNd
IdwRnGygqfY2mZZLiAe5Np3Xdah89KLCm0Chxes+1rYWsr51TTUxeHCA7H4sbwS6X5CtNddItF6N
ShCtBei7144b88GRHawLy1DYM/eWdtiXvpmPjBsPZ0TupVqVfSEKskiWjSirF2z9/esGTg8ZXwDH
JrNMpkt7E3DgOTMpWzKiQtJk7EOr0PGEZL5GfIctjET/KBMrgGhFVg6jeV50IrsZC/hP5Mg1Q7RA
8ZFwIDUkmu1birjhLYHyWbSxM2BOEKeybhGQBYDGsR6q6PT1ZANUx+2oVsh2RbHz8ZXTgM7YvB3x
jXhJUvaNnJKoFDRf6Iw2Rg4YStK34dl7L1gaT1aTxtbEnRf0t8XCfWIlDk7ZAqtCTN5BV2GW6nVP
agcXGNut5VL6pnD6GK+zf/lMCiw2Z0JKgEJ70rNasltQTlk6xyVXLroIOWCeyfMXJrii7Z5p22pM
ha7ByeB2vy+5GhP8Ac2GxIiyJ4SZMF//DCAyWVNtOR4pnV1clciyA+MP/WXV9MGitqt+ppDptLLK
yj8gC1j58tpvOtnKGP26qbIl23t2XWrXephGREo7pKoehJHRLSNJaC/0/MkGwvjivsN21KZDVZ0G
5pGNSqx1mKYltUTCCK9Qjgwuuogo2tf3he1jcmboMmiOvW1Kqgi11oSOfG+oEtLTSM2KsOLsH8wV
LAJVhZ1nqliru32Jg9yQksJJsLJbkuX6Tp2j2TH8k77QExxNVGRsfauPRmwEjVFiRSasaSX5nmty
tyB3CgjX80O2dyRvZyTUEZ0vg/+H6+VuZzg30VmfqkmqXPqILC/hheFIjlYd1Cv8cvGhFRJ19Hyl
T44uZgPHFu4CzDu6tjeCY1gDYePMnNu2B+A17uUDPSY2G2mZ9Pr5qp5OPDYQbEjsHXrJLN/tX4z0
hKE6fTDHm8rFSMnILY7GJC7mz9fztEvMBVLaFYxr3eBg2a2HdFYdMR4csRlxMV+LjktACXAkVM2F
Y9Sqtnm+uqefTcV9Dx5OwxlJsPxetxJFmBXHNdXlhEcJdgljOXQDATcFaemrmGSKA5lPu3pttdM6
1pXpLQRntzxt3Y8mZURuGHJLCQG8MsSJhalA4VsZ5RRP2IjBmCnsWdHcT1Pxgud17zLANJ2mDLMR
yAKepu3z9aOKe6G0dS8HEjtl5x0HuZUexpZPEms/DK6fQQCTklg6KxUtmkNU717o99MjCQ+PTLiY
g4sENqe622+iOkRPALXnWmiEtSRyj8HEt1QiiBKphkO4UO1WeWFKTd/w0QVo22duWzCdiBixnX0V
a7uVodaZnueCn5AWUhMTXxlF/Qu1PJ24dI26VIWoV5Uptds1J6ojJAdVj3SgduxOAJ7in6sDQkXm
JJsRVPz8DHpSHVaXKluYq9TF893eceM3vW40RLKSwTjKZI5FnxNN1g/UEljK8zU9GT7mCRwlC4ck
D2qKvPfNpKpphID4TipoAMl05D3GU+LuheF7shCnWibYFWYDj2n73jnfz0uw2igKwJnMLlXCNL+V
GBM3CtGcU074MIkW6Ob18317MorUygm3vZqyIvZHkRdJRxMNeL/Y67OjDDm2WdUqMRkKwl8+X9W0
ce3MQgaPhc7849ZGePE0zI9WngmnSB/RZnID1RJkX6h9+9GEjR8OsyjWZP+UGy0henVU+2Rcai3k
ltca7Fw6Jm8QjmVKgtS/24Kk0gVvVYnhAmknrrzQMtL4CcH8nJe2/tqLzlTXxD2c7nEsh70NbiBI
Oc1tUqyDqCmOmljKT1U9fOm++IvPZ7GedZuhoV/7UzMa2iyV8CMSLyvH5ULSJejrPl5d2S2nWOkX
VsLT6qYVTtCXyrnEy8ueJ6XXBW/WnI7E9prtcRSrBI1nvXJupQiTPz9bflnV5Kzh9R/3nbW3m/ix
lgUJnBs3haQzzFuj1G+GUiJtpETS4QUz4ukKp1+PKtubmkpYxMS1D7rrd223LNSsm5FNl76w9/+q
SzjesVd4mGfZTT9/tADYhAd1UFsdHKRFRl5UC+vSDywyWIVt1P9g/Cw2ZAuDhZv9NszsUWWwOHmd
bhi/QPOMpV4nMiqeunSiInX4Qr+enGmIdk5vNaYxPS3wCrjbr9EbSPSNqEqxmupjMGr2fLRjGThF
MoDIytIXlvEvvhbeChm/kwpKxpD3xrFxWqGFeaWTClpb120q+weOlebz5yfgL2sBp8eGhe/uiYO2
Upwi7xAic0PodudZlKiHaRNFr70IT2OHt5+neHziXO93x64PalJTrYRpbsE5iSsSCpRuHF6YDL/4
QroGQg8JFl5FsQN2a6HosdIzmSTd2rfu+YLFojFJkIjLivdS1PXaFwZv+gS7ez3TG8enjP+Fq4ex
VyGkRiHxmEB8hoQMpyuPFVJHHR7IDW51Hkaf/1RPj05FJ1BC1hlJ9or9F4WwTSyj9KmNeGyHcPGA
KP6M0O9TvytIsjOd87aT/RccMlzrp17s9BKSKo4FzhQVQxIS4e6w1m00qiM6OTiwy/q6UODjHdRa
WJ8QzqORSVcYoBcytZJutCxPTlF56vD0D4W9SKUxspaxk5EaauV1eOlH2uDMKl3pCTaLdKLKhWGj
C6L56VVceKU2MyGQI2Jigi1cYqLWhYuIbHDlsRTAOtZ1fmwXyGW6PlHiiDCbJlS+RurVT2ppVDcp
Mr4kAvkFEpRNnatL3xo9ImlqXb+DgpSfxoU+2gC+rShHi4l8mbnuFzHvn41Vt+Rb58M1yTrKoQim
CIscAZYjOZKtjSM5oFFSzatXcelFJyRy+vgPNc/x3aAyonNCWdLM9csuORDIDvgLYtDN21zHmTVr
GlzFM9QY8hOEI1E2CcJSgn4mLBWuVRT5N4jHF8ix+qjxzCo50o4HE5D6EQrINp6wtrURS0SN40sc
wAFjjLzmmstufNO0tZfMUo7HeObDibhs8iIayPbluJ9h5IVfDdDLqKSqZj4slbGv7n1FQtXD6Kr4
2rETbTjMstqGTjVmH4logkOWIhp53Wp5SPJEUofHTWFauRu1VitmZcXjReJPPFtVIfERWcoabJBc
lNKFUY3RV1/BgnPrILebRWmSa+BakUFKqmTD6gGTK6FuVZlpubLAeBQEhGndiJKaj2CIPhbdAZAs
0c/sQNc6dESC8GZQzOCG/GGYB6LqVeNQmqDH84Zoi01F7NcJdj6DNlTAqGSj7AVQjNE/Idu6Thda
ZNnrCKS3Oot930rdmru15kIlRTK11pP61kIuDo5AGOtfWjGIdTdUxinJjOa3knd06zgng7uDemyV
JPE2YPxTxyTFESnm6tL3AFW4qu6VCFAhFQ673bTInEDAdIREMbSpvWirQjs0wjGQ5oiKTS/3siZI
+I+pzNViWzusUNW8jdU+uXDACt43QeJ8QVA86t0RB++xX4j0m1Lo1Rfe7aRPIbzsOz8jAA1yW25H
rokdXS4sq5UPg1DHEDPDVh8WepPpPO5rjda7WdDK5zUoe9OtDE25JserNQBlO/UFZKbCcjHwSNki
/6niOhyYybHGBPoekKjhzXtfqqBLg8fja8Waf9Wyw1+3gzN8hfLWwHKqGigi8Ga6Ypbodt25gVWq
C8RjjHTJzdiPljlvsfDu24D8cVzN3XIYpWrlqIM0xZrGqApqXVPUbqfr4+c0actjn5tyuABjqd8P
VguexgI1Fx+YTluCyugNzxXYbmCWAarBmPEFcp2BMzZHMq6yL3jKRmOZtZp0WgKa+CaRB18fEimR
HcteWIB2MrX6Y2jbib6svNo/jMcyiuY8PNpgkYBAxUuJWKL2sFOxKJZjNSanldUaGzQe+kuzzEaT
3JVWILjOEKDendZCnoM0Sq6lEkEDqdX1c7WrEO32h7T1JyWC2nTrJLS/jUpfnqUIqZExA/HAWfBC
mhvLVCjpUav1veUWlTQ4ixBJInuuWVvCHoB7MQtzlH/nCo4Sgh2xQxg7ozVu29HvoEBFY/+ZQ8i0
Vk01kBHdK1LWLxVJNZARV9M+W/Z2HF2QYGPL864xjOtGgUgzL7QhQBqnFs1ZNabou7Rod8VuoVq+
7saxVJGUyqJX3K4YeaHt0lKREYipofYBR7knDcsm8wgxgJsGXOzFqBX+xxz2wTcVJ8N3QEYlu0af
NHgXlTSZM3Fi2MAJWE831L1sE4YlWXwiH5PgvJSJhuW9aRiuokkLg7DnyL8jqSz9DmvKRrgIo7w9
UIZJ0rwPTId+1+1ntW6qI99AchpMeh9d62VlrjHgy3AJ2aw7I9ZA+e71aXYugXnoF/Yw5OuuZFHP
mrjSbh2y8PqDhht1MYtRFvwGiw8VMLDjU6okLoV5qIG4P6rDsLnTPDjKiE1K/S2RUb28dBjvUwMO
gsfQpcxak2jqpZkSGLDwekGZii8B2bIlp4tXahq2H4PIkz7yKiutB3nszqb79rcuhwc1q1NN+Zyh
qNzwkBo2vGSY6HaREN3j+w2MnlcQfSx5a0wgkBxpWdrcYUzV113fMNlMO2uvZDitd2ikcSL0HQi2
mZMo5do324GtMfI4SQzQSBzNGRlgZIEHGfJI5Ky53I+9z+UPGSvUeDmHV3Udpx81GV4hCJtKy+ZF
nxSRG6MWcCH0qr5vkSU77HvEsgIRe4nbZHw45tukpzWluF9zsJm3YIvQ2xKV0n/2Wy26KbZ6XBon
UeZak0yX1Avzm7PV7vLjAlFlbavpZWhS+02JUcpCunES/Wp10tyId0hO4q0qWGB1yL4PeScYna1y
GFIO8ad4qyfm1BLaYohPojMml+x8CEaTskzyKEpkhUdLZ6CKUCgzEmBWNHdSLuuCiSwh92gXzgeM
WXWJ3AWQBdsaUT0DqAiZyAlbNVjqZkE+HPu78dmzR2M4MKVmossTOrjwpSAH80s830go/6S55nWe
r820SYpN26qyCTvIJ35lalWI8k7ybdqk5FZtRd1qP3DEvMlaOqBvhd+GcBKB07eCcFnpNJ/6SSWu
4l1YzCXfVjSGpXJ6ZF3QlEPHQf1SlujM6e0QfcPrJs6lChW6ftKjkwIFdXV8LsjUEfHuKSvO/ei0
zCSYfShex9JMTBp33lbuTlUbxLI9cvoQBAsnLtlYFBDFeKGV562QCgNLoIsjpDzR0mvqRL0taiVH
7isWUcXA9zabDgp8MlHFpDPWaAKszLjtmIek+BFAuRXvIypM8ex5iMEH9ZeHgjq8U51Yt8i2L2Np
Gbd5nt843L/CucT5ks/hQhlXoO18B81MH1W8gXx7ECAhY7+qs9bfdLYMjykaEaNcSk2afsXsJKOJ
C0Iyrqo6ZsUoaBsqEKfz0DvoAR+y7CA5VYDzmgAknKYXwCdVW9xFrSE3S94Yk9HlWALYEqQRLM8w
TKXoqMW7rM9BdThkKCIaklo4JqrEOMJJWtHpJJKj44b8X9I+MxLig8YNwQs4lzZ4SCiDXZ1ZX/sy
9a+tuBedi2tYxD4sHmH6h7zfSONnWxKleV7znjgeFlk5JkdWlhB1GocN1oUbOraaHEuJmSNE3cBQ
XMGdGuKPgRZAxojAT8x9DRW0oxZbWz0yUiOu73USrhNwz0KK0ZHEK5gsmjxtUMsgQXhYdY0dEm/I
A6DjLSQ5lP150BYtVM2YLJUbBPgKrz/gEaksYL5q3uAcEeyTVidCGTD82E705irBvmmO+xYk1EcN
zgNq4iGhPWJB2Vq0HHJUaz4BDCK0rTNa2zno2CL0Sw2Tx3M73h+jqxz5sfST3akxGmCKJcf+F6ux
0byordCWv0YZTD+ZdQIAhcPT4MrAbxr2YaWXYFWyNIBZC9mcQJ8YuCbAFM5RBaRGDDIWIy0FJ8Nh
YCxDi+NyJVL26WuySklvbkY4UUdWWIkWLGlNuvpQhlb7SVHicbzQAzyACB8lfUH4X0dMfggcKbOC
dmN7HlAMsIBdtiw1KYXm19WB9NkCeJ6cAynAkQTJqTHGOdKZnoyQ2zDxjhogJt/qgvdv9Hg6ri0k
UetNHUCm8gWKjNDKFn5D8ME1akgwhsn41qRVICB/n0IiLfQSMZRWYjcAH/y1auDyYSUESrzUvFFg
6ZnGdCGr6okbU/Q+FfP5wsMCXjjmlGN5pYKsblRXZ4WctWyuJHiQ3d9CsxqPaw8fwncHmddkoYFM
U9cm+nv2aW6mdXtZ2ImhrWqB6gdWY1W2n8mlsKbjv0uT4cug1C2yLTDpPHEODIHniFkpIZ3lZkkg
uPI5YV7fyzEEqUOQx0aCR8IISPsmTtDNci05zNuwHQ/VSDKQ5WuVKh1gZJZZsgyDII5OnCoIoXd0
kdVeKHKPJldt6s2N1ZLKcK4JHgVmmhByc08ih5EtbKNtv/SRyhZtW51eznVbpHADk9G55AFMyRYa
tLTcDQbCjxelDLZp1ZSBAvRIry1uFI5uCHk59qJHtQX2hB0sIuGVBSYdRDfrO3nkinfWVxLmXTuM
2ievb8MO1Ubsm2UDMQ3YnJpa2rxWIZgd43AnxQKxXfBNIDah5VRl1KrXNR8xW8LJTlGIAjQr3ypO
opsHFkQ3Ddp1XVsgjss+Tz4Ola2IGRy1Oj2NI9sLT6FHED00gOci113qxuKKdwrIP42kGbAs2iKq
P3V6nkVg86ESwBAJSqGsHILUwkO/idnnQq3TpGXdieK7h3TQV8Uax3zmSaKxDk00pFJEfFWgUK3f
+ZeOE8DU9uFaCbeUtS459qUyzl1Y+GSxNfi8j3hu1moXRgzXKDxpknJRZTxKzRS1585a2CFIRzkD
2TdvTKwj/oUuHiZ1zmpNBh9UQeBEJkYGKp4hfOB+aG/7Ic6ci5gYQ+82HJUsANubaPZx1Q52/KWP
cWqA2ZKH7CTQ4JGetTR8PJN0tetO07wyuH06iYARhU2rJ0AaiRE9KOSe+V91hW5eBKlhwXzpo16z
sO1GP/0MkUUqvo1R2W/CvjNgJGUe9Vzacs3OlYZ4xRcpGkNHli0Q8MRBadjDp4b09fL7APAt9g9C
tEWVC1NO0s9Ky3RZ9I3sXehFxl09bDJv0RQReRsMWPTdZ0k5yLNFtrYMsr4QM9DjTTin6/YxIlh2
fQxNiet7ojn6EdzLyJnFvdGcmIYwWApVZmeL0giAEBOGon6vO/QL5jgYOBmquCjvjNa3uYhVVn8R
WUTSsXoSoBq5GXvo4lZgZJaUR5SdKvnGV664+bgamz75hIZ9MC7SwdZT1y7LypvpRq2fDJGfa4u8
zdVqVU35TjMuIEmzqiQWDwExiEcsRBtb30cRrSBg5MWqMYv2JG8mnELhwNrmbE672ah0XrWAKFgi
ghZH8bGVhSIEHOLE3SJUi3KhlK18q1VhBqw8mta5kEtEI+3IcsIlr6/DPCRl65ovghcBs8G7rOHd
ZaBbOlW4UTm0d+iwm/e95WeJK7X9eFnU6YCPTVbKU0vAh3BBKxtfahFBCbQMgv/KPlVGtw7VcA0J
L6+WZdj29oo7ZVacCUkuTH8Wyr3sI6McDvcWQn1s5lroAa6T0AZaG2NqnKiO142u0wNXWBhy1F7h
ISmVBSqB4ioBSwg5Xh3D3u2Uovk8SlpCiG9HKPG8I4DuRtiOBYC1A+3sglitIONohfwd8bdBX/QK
bxbu0Mn1iCSmgttVElGx4cMl1gy2MRqApJr53+DzSTgGdAGUmqT76KsSppDKgcBwePpOkX3LKyXW
lkUrDd5MNVvppsvGSEKYKY8VWMJGoyqLQfOxQiIuiY1bVZmizNq+VRjivtLxYGd5cWtpUZ5CF/KC
hdP06aZSw4o7bN58VTr4RW7IfZ0GaxKGecCV4RN5fF08syucofMK6AaaGr0ZXsuhgLJb17ptuOrQ
fg8yHDzIF8InQdXL1++FNqG3EubOueb1RDCaWMZ4L+06juFrZM3xoBvKvWRETT/rHKu5VjoCy/p4
0LAvStx9ByiJg6k1mrRQjtSkC8BNdX5+n9Ux4nAiF+HXrMaHxH0Ho38uRfKYYcXrQw4yxmlvPDtW
ypibAvaGHhLljObJrElU63jUhFbMes8HguNrCr4zNpaaC3Dq5De9qogcsigafQi5Juj6SloNfzRO
U3MEXyax2So9Vi2gMt9W2Wc7A2emGDrhkgAVIss7Dt5935Ts562nO5PuciQVM8ewtQuMIaxZZGt7
pMxaudqUYU/Nep76qRvanNsExQkiMupa8eNDRBYkGwpqGJkLUXjhdyltVCCEdmR87WMnrOZe2pQs
9rjppDkSdziIy7IVwRlaBcjkeGxp3WloJwm7T2ojJR2LQsXuioviBFsRKY4A8A4SI3I1ftG1kpdY
axBN6wIOZZEgtFI2c58UsgkV1Vsbv/E6iGrsqeoBtMZYA8IiSG0L/bxaD2PV42tsC1i/tV4DuESJ
uIJfx+Ma3EUZ3WM3wNOCR8bQk6tCTob0TJICO16ogRN+YzImg2tz5Cpzk0vRSguKqDlsSxMiqo2j
H+EVTneD+FRUYucWam/+qnPyYlx4nu2JZVPpEAp5VMyMuV/3RTWLtBKVT9zq4JrtzMFl0fQiD7Bg
odk4IlVloKy10BGsATQ1b3hKyxaSBK9pbjm1Cdoo1gNxIHmZ7hxC8jY2TQgAaAFnuyf6zPb9y65W
e6D0KXCupizmFE9MIxCbijRRRyQKvFhjUOdyq6RiUSCgM0xihMKbq6XeenM7Hk150RpD+D1tSxS+
+37UgsOEdD5Io9xW2v5KeDHCxy1hfriNKsR4PJsbjEvIo7yxUy/hno+5eFygQFqttBEQNRrKWI7z
WlPby7qxtE8sD5Bbgldi+Gq5YsxSKWnOSGvFjyGlccsDlwQj14gKf650IcsHr9enSM0RKw0jW77x
yI4KF04+4BIKNEKuXNREkmQVKj3/dR9lcFmNMcITruSW0YO8CWVpbicerl28JdKViNLQ53DP5TvF
C02UN/DMBIdjVyf9KuT1w56pbVac9xleACjkOES4MTQDuAO1dY4joGPjcdphkLtcfuXsoKiN1Ie6
nrNX+XZlf7ILR+L4w54K5yPRiLV/ycNGkF4IbhtnoYX1P7egAIJTHvK7AvVz303rMvmO0Pl4bfBK
Nc4mXREF31qYnIRxqxBT1utTqr0BT79tSGxGOjA7sDzbCDnQGGR8SkN13jfNCMUsGzCQ5D6IjwVS
Ps4itU3MXqO3jtg5x6+lQeYcwioFqdLYeF27wqUqHdS9hl5CDg8UxxWqr8GP2L9XkXDOi012hebO
pj5dF/99+k/v8gKBJT+ot+q7//G383YjCHzafOAXqw/LJrtf12Ge7f83O0Wg4PuzNfN1vd75y4JN
uB4+NhsxXPIYkFDdo1998tO/tICngi5yAneu83/2Sw+iwr8u6CdE53ooNv/+b3ckqNdT+5A4zR6z
ctACe/Q8+FdJ2948V0LCkNXNPUVL5h8ckbz322SfbP/w7JqQE/Dwc8v4A402IjOJidv+4ecQfR6N
0d+NwvMdfBjsH8rKfzV9ZzSf68Jm+90O7//930yeeHcYQ9sGvWYMlD80zbHI3d/vu/OHRmLSpP33
Y2x49fzX6vv0Dvumvut/yHxVhVCrvc+u/uHINj7B6Q15+vNjkP+FPrvy1q5Lmv4HM59HeXJ4t39Y
TI+nvsnPzSlICszC9g9j9K/1+Scay5s+v6TIzP3pzxQv9bjzhvbHj0lPMMH2z4+qfmsC/MYv/bWP
ukGY3G930HBTPdqGX/yFh+3laQE/t41pb1C5MP+Hnvv2V6ct9UfhP7aQ6e//Y2eH3W5uj344qb8/
+uvO71ZPfvln5x/X9fifdrr6yz48/ONBuBFrcYcPebvV/ezV2Tpl23bX2fp+/fgomHIU/6ORT86M
v2bJc6WuOH+zZJ3dPxQ1DeG0M7y14NNNH97lD+VMpRL4+PDXX55xv9XeqzXn74cLxglzgGZ/OA1L
cHK7Z6Q6bV1v7cAnEn429x+u6nW9qR6K206wKVPhraW7FCDWyYc/040I73Y+K/k6Nivvb2ugMb81
VO5ahLe3m/Wu+SDjl99mp7xQ/q8m8F82wNMFuHu2v/7nP7s7jS9RbWz0D0vi8aJ6ZlH+16zJ2ToQ
TMiHj7Wd5Zwofzu0v/vlhkI0O3POeI+lvh7XTGeelh9auG3vdAq8tcGHYm+WTfnoby60EutN8lDO
tq3KOwwubS13Cp1yDd/a1qNc3O8NgfoOQ3DcdOuwfmjedggmDMNbW3uyuV2TBPxQ0I9y32GGnad7
YzAFdL61sR+5dYmHYrZNnZBQby31at3chx/+FOvbcHfzneJp31w4t9jdUieYxFtL/XkgTW3+sEhD
8eRcUt9htL9sqvrDbJ3FD+2dRpw4/oe//vOT+2aTbnam3DYj9a2DcpZ/YNL9t+rDvg1DusXb27zK
KfbDVXN7H1ZsnHc7SxHk03tsy9dNdvvhsJrav7PlT4AXoGHvsDn9edt8OG2qnRn5s/R3GKP/ebm4
Wlx+Xsz/14dp8mwEA7Y//y3QWDqq74oKOhe/wzal9PlP/19nf9BYPJk2SSvEvZOKBIn4P9ka+VXf
H92TdkyjxXRT2L1H/f3Pf+5B05rWHLLHfqtfVJDxrZ5YWLvWWH6HpfnC7/wrXKP+/L5vb5OEv79T
/Ozyb5prf2acUHdEHu2uMJxIbyy32jtFyNt8W4mLRuTF5qGM7WEqw6F4+IeHzf113T/LRR388iKz
vYnvnXuvK/vPhn0XyeWdkZ0uSG8ciKuc6JhftVlTkLd623icTytht8VQJsFmkuOOnjwJXaS6PDFh
XjcuFxhFfr5fC/k6cKtI1gTxSWKGPCFp/naX/d1rJHNmvTcRTZucKii8Khm8pBODc33OPvjdimZr
0gbufnHhJvYdb+WUvEP/AOI6z5ojv1vd6abKi7xep7uf6le7/9sH8XTtB2Jz+/A5ppVnaRpEJKbD
xDh1SCqc8gnf/LX+uvR/ONvUwUY8MSvIv3NAOgMGATxCqodjaC9W+6vz6D/HF0DIFdvTzoE2bVL/
zzvz/ky4ge1OvCe7TvP4Aei3PD5/Zvc5RLyH7znNMtKQ/3ZO/e7xNu3Bu22dKNFvLXa2IVKhSR8K
mhr7HjfxGdko4XrrGjzYiHHjE/6X7QzJRBZ/h8av91w0T8/m139Agj18vHY7zZ1oz29t7nyTpWux
c6ebsiDfWuyhQMhj13VsvsOEWxBnurc4psz8t7bWHTd3we7YTuSltxa7DJ/4z63nzt3fXHXLtcg3
v7oXcht5e5vx191tHsrZ7hPvsKJX4S222p63xnmHL7fiqT6rNsPjBjtPjPbm1fvlaiNwHuwW+x7j
wJvK7uhOCLa3zjMXxfl6d/oq8juUe9Bk7Dk7g7AFHL+1vYd3TzYHZaIvvbncep3stnaCBL211KON
2JtgyoRweXOxuI9O18Ou4wt+xNtLPlnX7d5s0N9hdE/COmj2TRPl6RWxefViuwI5u473m/wOY3wS
sq/Xmwzf095TzMSYeOsXPGn6TXqbN8J/KGvaLmHUPPz14dL8+hGBLHjPmDwUtC13IjK9tcmnebbe
e3qdeDpvLnba2x+K2TZ2UoB4a6l/c03ZEifeXHYuuvXuXvEeR/PF5BW+f+j6diTew017gR+l8de7
L17v8RR/mXPK7S484jwe2v/P5++0ojf7BU9Mr7d+t6vtrgkiayd+QH2PW8dVsfdeyy34HRrcrrnQ
iZ05QQDZOxTcbe53Dw/1PS5JV11Yjz+cAw9tnKax+h5H3qd4ehLfMS7xEz1U889n28/nr+Mw8+/z
3WvjUwdu8+rj6TPG1R3zziU09KGx2zF51j/ym8Y8OzIH1MYXuxP6PW41Vxux/4RpvcNo8yC1+ZB/
x3jZebODAvMe79o/XMan67vN/f5Nb+LzvMNhdZxX5BA9/pCEPMJ2dx7+6Z9PxP/zv6ft/1dXM5ip
ik3aKzGU4MiQTn25uv8619r07PH/o2PNJ6Bqx0x5hxvdn5nPmf8wdaZt4R3m0Syvq46gvsfFTiTj
t56eM87knUWrvsN6mjXkOd6HD62bhkB7h2LdYL1zaL7HQXG5KZrbhJcEti9c4B9II/N3doJJLumt
gzzfpPkdIRhU83J97zADXWJARb4bszNxmd/aDzdPc4RAHgqavqvxDnbLX+GN29fW7K8x2qnnHW5n
7rrYfPi8Efc79saz716/eWTPo5BbX/1/ubuW5bZxLPor3HV31aQSKvEjm66yFdlJy3J7LNlT1TtI
YkuIaEHDh1Pyqn9j1rPKYnaznJ3/pL9kDkghxQtypEQ8E6eySSV2CgCBi4v7OPdcIfGHBNu2N1uv
suo2HBLsz97fc4VKZw1A6XkO40volEOCmPRQXpbIYRlWRi+ba7OS6tpyXbaV6hGu/bm68wyjY0KK
5VyN5SW05Thtl3s+956B3XZDWUOzFdldEwQ0C2m/1u7jv7MomP7w7t7oRNy6kPF49aPlWkhvA+Yh
/2Lj/kKPfasgZDgNF8ghg7TO7arVnjAy3T/3NzGxXm8XbEPztmI2QP3ATKUTD07JeEYQ4zRZJsWB
4jipWH0QOji0XMLtdyL2BiXc4gEe0okfdyPo3oHKoX21BISjPomxDXZkPzYUMp65gXmw+he1GW6Z
xeVgpAcvNUx8MSrjyShGlS9R0b6kraiV7zGal6apysWq6zijL1ds148f86VfIcrINl3DM5HVRuhq
4pa/v2IbRuvJPIrjSFicHUYeawPpqsH7QJTMWDeiNzI0Cyp8wri2kEkFF5HxIma25U1b0Rsi7utD
5xiFGcPcq3UAiqj9akdGemkgA2w/6PDxnyYYmbvHjwUi5Cp5/NdyoiUEEr3b2k8EFLf2UHKI/xDG
VcsHX0F3GIV/N7PaBWfkDxEnWABvE5ypVJhFHUYuDoWQ2rPpO7ZlS9uLguaW8OSXwiQA03/7gX+r
+SDocEcYVt+N1fiDeFrRNKf9wKUOrd9v25+z7Saf6iQYwZgT+S1AYduPfDJeR+LswEiOECy6n4Gp
GzUHgEns1E9PF4ctyz3bRmKr67fPMxCS1R/1AC/+VCUg5nK/cT/c5lICsqcfpNQRhK5r0kwF1x58
nnKv42Co4nsFVKSTMmuF2oarbaX5HAGXCM+r8FXrgP/8i13Vt2Y5tYhrt8TCbGbUM19igxM1y8WK
w62Vxp8ZKrtC9OJODrsbndUknVtkllhfDCz56+8x89FYhXKwW3Se7iQ6NrjjFM++hd6yDOnbKDGa
IaCHikGZOyU8/CdI2o+Vfi8HPnC6Yn+/7CRBcab0fgkREdSRzmI1jdK5W6HVZgyQwWCtLKJZDMtY
8Dz3D43wwJ0idSYNlJeEtSIjNDZTeWYMC36Y6OACBcBCoTOCpbjgMtnJcAnwXM6Cvv1jeHJdFYei
G2bbV/4dCiqWkefXhZaGiDCyPLqQ4fH/olZSNYSMwvP+OgHPnK/OYGC334YSCNI3Xm4JbZraj106
Mw1jE650H1waYD72lEXIuNcXSqZjgSVpvxeA2ihTuyKWSqytIAPaBGyEJ8sM432g4qm+l4FCNPAl
rBhW+9q/04ws7GW0kiFCdCVsv9wrWO2A0jfhjcJjyviLmqmCDq2EhYPmS69WSEcLZ2Z7neNnuhxD
oADVCmrDLbMwLEKCdIzmSvvw3k6H8F6P1Htd32lEKtwn7G+9jZRGuN6NU9pYjBUjlmfNQl/NoaOi
m2v/Nd88jKOG7WDg6m91lMEjdWss9oOh6n5FHaS5D96BijRfBc+DHiAXJss3N7M6HfrhvSAcwGbC
fr5U6Rzhs+eB+6tumvToFSO4OFwB1hSvm/QNyrAZts9AT6dAl/ZUmlU3reT9+t8PErTIZ1XBbnZt
ONcLlHcvsWuf/lrSrFQnRSwAHB87w4O74RZ4rtRa4YBAiP3nH/9IF/Zf58kaOXes4C1gI3fKnZrQ
hyAzOHzJAA2MNKBczwBJkHl49Bp+jYah7qP3v7HDCE7Bwol7+vyNVmYNf0kHf7WMvCLc//roAL1e
CZO+MYupwQaO1AJupJZhJhC4ghGAcHh9letEi/rY8AUockBs337frtSzWD+boPT0WZrmbjyrlTZz
EELgqJiYNYxM0EEXapXNPbOm3Jqdj8DTBZaAdCpZDtsGl6qfYG/O/yWsfpLkY+FtE8xycNJoxHqL
rOepSsZI2VblgxABByYazQZkAJxhgNnVImIvdCSjIsBiAsHXiEi1GJrhIHfVGhVWTS8mw5zpetLB
AEC9MXfId0rCIobx4MZtRvwyvDcQ1vo8uIziO+RzpqCRzSU0gAHReQsGR5GdDBmP8S+QY+/8Qgb/
30AlNhPu47YYmHBbBJVauIuw+sKtZD6fafJdgSAgMzaHKKyQDoMDsGQc7ussSwttehnda6lBGKZ+
OctFPpGRlA5F86GSUk/VtFj+yIzBHCXeAkY5+gi+Yrk/XcilSZuUYYdBkVJu1K0GfwWIoG0hlq3x
KLVCLdTAQM2eWvBlOg9udTLTjUoe5IZuP/e3rm+GW2cgPNho3aw8yHaHkQpHM3YbXXRbULjbDNN/
qKRV1LG9GtqGKxE4yoIeGI0A+MnlNWaQwZTSCRMmmz9+jKO7tVux3ZUDDmIQHzBQmEHWBQPuwohh
lh9QvgLBj2cFT8xP1Y94CdawnQ5L1WzubaAnXye5X3IDtjX7v8GcsiXh8tGcjFp7ZGB+N/GiIZ50
iFpfUMW/RjeU8NXxMcgcd7qTT3fuJW/jd3juycyqPJk4ZQThTpG08QhkGJXdp4l6kBA/Boy3i1SC
CPUz4mVdExu/RIwRJu5N4EtIxBmj88UZHJ/J3Nb3ecViDHDmmUIXdWtMNRBRHxECbOc5ABsiAoHY
l3tW9jeahoi2ItIvRCNkEKTZpBvCJ+L5Do8J6aWrKJEhwN1KdXfs+SbJ/cV2GDfkFpwVD+iuIg4O
1KG7Du7pnoEmot3v8FEom8aAaF3dGXE4DAvzFKx4friQ4OAMrbo1jQ4UA0nSNdbr/LEfAaO8nP3U
pMgY3mABWLEc9zCRrSJumofB4dU1xtlkwkthEHmd6ffaXWHrlzBQCmfgKbIdKVzDpII7Rk+SOnzq
mCBLm7cQRFzrGjyLgWjejF8giOxh25fxE8u7RcdNxaEwHgYEIEXGus4Qnn85ljwCJ9VGQotvGEze
IAgQu5+JjwDVshOK/R/kPtJoY7jWbqQiy8Wor+rOE+AQELvffI6cgLDyy+hD0FVxAyERg6XpUnuF
sAz2hFu1RBWCNCcYMZJLFBzLURl31m7wbxGy5B513vFLd5b7i92VziaIbTU+LuCnJ0ygVkim2U+o
82uEnCRx7JcHE4Qaj1SK5G0zeIxRrVKGi95GMZIyfwlOUgRlU5Qjl5Fme2ORFgMAAg3P58JOQduA
9ocyMgvYpkJSOwxTYgRIo1wtA446ykES6C2WIJl/w/HqMvJ+lmdACrl9LeKwjFxhzcjsMCAXXYsN
tFkbd2mr6z5AkPHoCH0K0IAYMIxXaLXtfr2/kripNnRE38ilSYJfc0CdYC82mnFHFl7ywrZCRhQM
nTt2E+k8oePT0PujreNT/Rq77dvBD9X/7WK+7KZFTY1Hvu5Xls64jUd96mDrFrCtcvI8MsgeibvJ
wO5e56kHZO4wksujx/+ginsduTtXqJLdfQiaJODrRP2bOsS4YynOaiO+W+L6tdZV1a/5NqS/qWPM
9/eVTQ1qvrGvrIpGg6rb6MlJDPfr5/8CAAD//w==</cx:binary>
              </cx:geoCache>
            </cx:geography>
          </cx:layoutPr>
          <cx:valueColors>
            <cx:minColor>
              <a:schemeClr val="tx2">
                <a:lumMod val="25000"/>
                <a:lumOff val="75000"/>
              </a:schemeClr>
            </cx:minColor>
            <cx:maxColor>
              <a:srgbClr val="002060"/>
            </cx:maxColor>
          </cx:valueColors>
        </cx:series>
      </cx:plotAreaRegion>
    </cx:plotArea>
    <cx:legend pos="b" align="ctr" overlay="0">
      <cx:txPr>
        <a:bodyPr spcFirstLastPara="1" vertOverflow="ellipsis" horzOverflow="overflow" wrap="square" lIns="0" tIns="0" rIns="0" bIns="0" anchor="ctr" anchorCtr="1"/>
        <a:lstStyle/>
        <a:p>
          <a:pPr algn="ctr" rtl="0">
            <a:defRPr sz="1400" b="1">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b="1" i="0" u="none" strike="noStrike" baseline="0">
            <a:solidFill>
              <a:sysClr val="windowText" lastClr="000000"/>
            </a:solidFill>
            <a:latin typeface="Times New Roman" panose="02020603050405020304" pitchFamily="18" charset="0"/>
            <a:cs typeface="Times New Roman" panose="02020603050405020304" pitchFamily="18" charset="0"/>
          </a:endParaRPr>
        </a:p>
      </cx:txPr>
    </cx:legend>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_xlchart.v2.14</cx:f>
      </cx:strDim>
      <cx:numDim type="val">
        <cx:f>_xlchart.v2.15</cx:f>
      </cx:numDim>
    </cx:data>
    <cx:data id="1">
      <cx:strDim type="cat">
        <cx:f>_xlchart.v2.14</cx:f>
      </cx:strDim>
      <cx:numDim type="val">
        <cx:f>_xlchart.v2.16</cx:f>
      </cx:numDim>
    </cx:data>
  </cx:chartData>
  <cx:chart>
    <cx:title pos="t" align="ctr" overlay="0">
      <cx:tx>
        <cx:rich>
          <a:bodyPr spcFirstLastPara="1" vertOverflow="ellipsis" horzOverflow="overflow" wrap="square" lIns="0" tIns="0" rIns="0" bIns="0" anchor="ctr" anchorCtr="1"/>
          <a:lstStyle/>
          <a:p>
            <a:pPr rtl="1"/>
            <a:r>
              <a:rPr lang="fa-IR" sz="3600" b="1" i="0" baseline="0">
                <a:solidFill>
                  <a:sysClr val="windowText" lastClr="000000"/>
                </a:solidFill>
                <a:effectLst/>
                <a:cs typeface="B Nazanin" panose="00000400000000000000" pitchFamily="2" charset="-78"/>
              </a:rPr>
              <a:t>امتیاز رضایت مشتری</a:t>
            </a:r>
            <a:endParaRPr lang="en-US" sz="6600" b="1">
              <a:solidFill>
                <a:sysClr val="windowText" lastClr="000000"/>
              </a:solidFill>
              <a:effectLst/>
              <a:cs typeface="B Nazanin" panose="00000400000000000000" pitchFamily="2" charset="-78"/>
            </a:endParaRPr>
          </a:p>
        </cx:rich>
      </cx:tx>
    </cx:title>
    <cx:plotArea>
      <cx:plotAreaRegion>
        <cx:series layoutId="funnel" uniqueId="{7BB1B5CB-C282-4AD1-AEDC-7A01EBA6054E}" formatIdx="0">
          <cx:spPr>
            <a:solidFill>
              <a:srgbClr val="002060"/>
            </a:solidFill>
          </cx:spPr>
          <cx:dataLabels>
            <cx:txPr>
              <a:bodyPr spcFirstLastPara="1" vertOverflow="ellipsis" horzOverflow="overflow" wrap="square" lIns="0" tIns="0" rIns="0" bIns="0" anchor="ctr" anchorCtr="1"/>
              <a:lstStyle/>
              <a:p>
                <a:pPr algn="ctr" rtl="0">
                  <a:defRPr sz="1400" b="1">
                    <a:solidFill>
                      <a:schemeClr val="bg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b="1" i="0" u="none" strike="noStrike" baseline="0">
                  <a:solidFill>
                    <a:schemeClr val="bg1"/>
                  </a:solidFill>
                  <a:latin typeface="Times New Roman" panose="02020603050405020304" pitchFamily="18" charset="0"/>
                  <a:cs typeface="Times New Roman" panose="02020603050405020304" pitchFamily="18" charset="0"/>
                </a:endParaRPr>
              </a:p>
            </cx:txPr>
            <cx:visibility seriesName="0" categoryName="0" value="1"/>
          </cx:dataLabels>
          <cx:dataId val="0"/>
        </cx:series>
        <cx:series layoutId="funnel" hidden="1" uniqueId="{B8963CC1-C9C8-49D6-A1EF-91975120A57E}" formatIdx="1">
          <cx:dataLabels>
            <cx:visibility seriesName="0" categoryName="0" value="1"/>
          </cx:dataLabels>
          <cx:dataId val="1"/>
        </cx:series>
      </cx:plotAreaRegion>
      <cx:axis id="0">
        <cx:catScaling gapWidth="0.0599999987"/>
        <cx:tickLabels/>
        <cx:txPr>
          <a:bodyPr spcFirstLastPara="1" vertOverflow="ellipsis" horzOverflow="overflow" wrap="square" lIns="0" tIns="0" rIns="0" bIns="0" anchor="ctr" anchorCtr="1"/>
          <a:lstStyle/>
          <a:p>
            <a:pPr algn="ctr" rtl="0">
              <a:defRPr sz="1400" b="1">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b="1" i="0" u="none" strike="noStrike" baseline="0">
              <a:solidFill>
                <a:sysClr val="windowText" lastClr="000000"/>
              </a:solidFill>
              <a:latin typeface="Times New Roman" panose="02020603050405020304" pitchFamily="18" charset="0"/>
              <a:cs typeface="Times New Roman" panose="02020603050405020304" pitchFamily="18" charset="0"/>
            </a:endParaRPr>
          </a:p>
        </cx:txPr>
      </cx:axis>
    </cx:plotArea>
  </cx:chart>
  <cx:spPr>
    <a:noFill/>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_xlchart.v5.18</cx:f>
        <cx:nf>_xlchart.v5.17</cx:nf>
      </cx:strDim>
      <cx:numDim type="colorVal">
        <cx:f>_xlchart.v5.20</cx:f>
      </cx:numDim>
    </cx:data>
  </cx:chartData>
  <cx:chart>
    <cx:title pos="t" align="ctr" overlay="0">
      <cx:tx>
        <cx:rich>
          <a:bodyPr spcFirstLastPara="1" vertOverflow="ellipsis" horzOverflow="overflow" wrap="square" lIns="0" tIns="0" rIns="0" bIns="0" anchor="ctr" anchorCtr="1"/>
          <a:lstStyle/>
          <a:p>
            <a:pPr algn="ctr" rtl="0">
              <a:defRPr/>
            </a:pPr>
            <a:r>
              <a:rPr lang="fa-IR" sz="3600" b="1" i="0" u="none" strike="noStrike" baseline="0">
                <a:solidFill>
                  <a:sysClr val="windowText" lastClr="000000"/>
                </a:solidFill>
                <a:latin typeface="Times New Roman" panose="02020603050405020304" pitchFamily="18" charset="0"/>
                <a:cs typeface="B Nazanin" panose="00000400000000000000" pitchFamily="2" charset="-78"/>
              </a:rPr>
              <a:t>فروش بر اساس کشور</a:t>
            </a:r>
            <a:endParaRPr lang="en-US" sz="3600" b="1" i="0" u="none" strike="noStrike" baseline="0">
              <a:solidFill>
                <a:sysClr val="windowText" lastClr="000000"/>
              </a:solidFill>
              <a:latin typeface="Times New Roman" panose="02020603050405020304" pitchFamily="18" charset="0"/>
              <a:cs typeface="B Nazanin" panose="00000400000000000000" pitchFamily="2" charset="-78"/>
            </a:endParaRPr>
          </a:p>
        </cx:rich>
      </cx:tx>
    </cx:title>
    <cx:plotArea>
      <cx:plotAreaRegion>
        <cx:plotSurface>
          <cx:spPr>
            <a:noFill/>
            <a:ln>
              <a:noFill/>
            </a:ln>
          </cx:spPr>
        </cx:plotSurface>
        <cx:series layoutId="regionMap" uniqueId="{0F4C2769-58F4-4587-AEF0-4A67E1A1B17D}">
          <cx:tx>
            <cx:txData>
              <cx:f>_xlchart.v5.19</cx:f>
              <cx:v> Sales</cx:v>
            </cx:txData>
          </cx:tx>
          <cx:dataLabels>
            <cx:txPr>
              <a:bodyPr spcFirstLastPara="1" vertOverflow="ellipsis" horzOverflow="overflow" wrap="square" lIns="0" tIns="0" rIns="0" bIns="0" anchor="ctr" anchorCtr="1"/>
              <a:lstStyle/>
              <a:p>
                <a:pPr algn="ctr" rtl="0">
                  <a:defRPr sz="1400" b="1">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b="1" i="0" u="none" strike="noStrike" baseline="0">
                  <a:solidFill>
                    <a:sysClr val="windowText" lastClr="000000"/>
                  </a:solidFill>
                  <a:latin typeface="Times New Roman" panose="02020603050405020304" pitchFamily="18" charset="0"/>
                  <a:cs typeface="Times New Roman" panose="02020603050405020304" pitchFamily="18" charset="0"/>
                </a:endParaRPr>
              </a:p>
            </cx:txPr>
            <cx:visibility seriesName="0" categoryName="0" value="1"/>
          </cx:dataLabels>
          <cx:dataId val="0"/>
          <cx:layoutPr>
            <cx:geography cultureLanguage="en-US" cultureRegion="US" attribution="Powered by Bing">
              <cx:geoCache provider="{E9337A44-BEBE-4D9F-B70C-5C5E7DAFC167}">
                <cx:binary>zHxrj924kfZfGcznVx6KdwXJAiudS19tt++eL0K73RZFkaIupETp12/1OJO1lUmcCAH2bQxgTJ9W
HapYT1Wx+FT9+SH+6cE83g8/RWva8U8P8S8/K++7P/3yy/igHu39+MzWD4Mb3Rf/7MHZX9yXL/XD
4y+fh/u5bqtfMErpLw/qfvCP8ef/+jNIqx7djXu497Vr78LjsLx6HIPx4z/57A8/+unBhdY/PV6B
pL/8/N9D9dj6ur3/+aenf/3yZuke//Lzd3/180+/bGX93ff+ZGBpPnyGZxNCn2UZp5lMUfbbj/j5
J+Pa6vfPOXzOBZYs5ei3H/L7lz+/tyDgX1rTbyu6//x5eBzHn/7673ePfvcK331Sj674qoXCPS34
v1/99oa/fK/l//rz5hfwzpvffLMRWwX96KPtPhTOOPup/g9uA332pP2UZ6Ddb7Uv8LMMSZkSKr9q
n3+v/X9lJX+s/P99cqP7//1gq/rixf+96vPhfq3N70r4D9h/ip6R334Q/l71jDzDv+lc/NXw4fOv
qPtq+D9eyR8r/vfnNmr//ddbpef/H9j78SHcf3bD7+//n9A6KD0TnAv6vdJF9oxwzrMMf9U9Sn//
0q9K/xdW8sda/9uDG7X/7fdbvR+L/3tjf/k4hN/f/z+gdP5MgmZ5JulXX4K2ymfPEGWSYc6+hgL4
/FuL/9Fy/ljzX5/aqP3rL7c6f3n8T+j8H/v9vwXCw72/P/4WQb9x/f/8099eDuL65tF/Foi/6u7y
819+TsGM/xaWnyR8p9e/C6G/P/J4P3oI0eCJOIXwLBHGlKOMyJ9/mh9/+0iQZ4xJCvtKJBWccXBS
rRu8gsdw+kzIDPY6RUggiB/w2OjCb58x2GomBM+EYCRDHLO/JS4vnVkq1/5NG3/9/5/aYF+6uvXj
X34Gu+i+/tXTSuGLqKACZQLB7x/uX0FOBH+U/j/aB1e6UpljZcL7NVs+leHdN4r41yXz7HvJhlXI
0wCSUy5yXcd8HWS+TzRo5dtF1+viaR9Jc1wy8RKR5KVJSbJTNuRS38rugsBt2ZTNEc1kvXUMx6Jc
DD/sWznkAt9KL9NUjKaWzTGdTsixoqqHr4D6miv9G+pm30t2Gum4yLQ5rrGdrtYWhYNpluz1vnU/
mc83ZoLLYZ1b4cyxmwdR1FSvB57Q9/uEQwL1rXCxKDFTHptjsA2/qFp/P6NG7tQLoOtb4asca9oL
ZI5k7POyWm/qobrYt27wEN+KZm2M0iNvjiY7Z+O9qXciZ4NJ2LauyyhrjmM14ucja8MD0TWKX8Pd
v2spbAPMUk5C6jqYY1jIJRxd3jRM7BS9Aabo537mpjVHLUO8djqkt6VMnu9SN9sgk3lBw7CAWhR+
6Luq4BXbh3m2RSXnZRQaw0bqNuedNDlNrNkpfAPMehqbkTrRHOuuf1HiqbpgXUSnfTrZ4BIR6box
7cxxWBbzsA62uhw1zi73Sd8AkxraRDeN5sg+rF1Bup0a2UCyhPRlqTWInceuzYe01wVd0314ZxtQ
tkTyXrRgJVXU56GacW6nuHflG2ROTeq7vh7McRLVmJtYl8UsQ79P3XQDTNWacq1mCA4yM+BQZF1A
8j3sUzrdQHO1dp2rcTVHUdX2QBlv80V4v3PpG2xyHIJdHUjv9M0Y3rjuapcF0g0yKaatXpPFHGs8
3drS6Hxou69n3H/XD9INMDlZFcpWqo+SkkvXWHuvHCO/7lv4Bpg9l+MYZ6KPmvPm14GjscmzcWj3
4Z5ukLlaVPc15fpYjvVpnR29WNIknvetfYNP45aQVggUg41xh5K1zcXE/c4YQTcA1SlFvtW2PAxD
lyM6F3j6vG/dG3RCCazXqvb6OAY65izQz6Sc9sGHbLDZ+lUnRsn6KDt0sLH7VaV63il7A820ZKJf
Sa+PKeY0r4fxwgrbHXYphWyQ6Sfhl2GAhTdzdWUJ07nRzd0+2Rt0TlK1FjNYuAaxiLRvR2tf7hO9
AWcbichkC6IH4cWlJ+IKDVHsQw/ZgLMxi6LDCMKt0jljh4HuXPUGlnGk42Ahnh0XMxcKg/PmQqc7
zWQDy1G7YUFcgZn0CS1GheiRZ8vbffreoNKUSdc2weoj14aac5lmC/so3Oy6fdkb2YBTCOc75Y0+
qtUXMnmvBrJvN/EGmotIQiwJSHbJcuWrLs3tuL7ZpRa8gWbHlA6TWNVR2/lTkoSbknX9vmQZb5Dp
kAgxKqKOE4n8lUbxLWUVvtm38A00y7ava5KF+lil6rZNPJx70Dzui8pQefju4JNhnyBaWwWnwceh
upTtxb5Fb3A5EmX6qQK55YwKlCWHGJp95oc3yGy9gSNl2qjj3B5nbfJM7kys8AaWuKKpXnqjjqiW
8UDa9iMcaNU+zOMNLMuugWV7po61b9qjTMYsd3bYlwDhDSTbBOpUdQrCu/pjprqjUmhfOphuIJmg
TuuKUAXWF2U+dGkG5YLU7bPtdANKpBHrZgnSy6q7AQDdYe/wPoWnG1D6Ya6SkAAoY3UPQbnJy9Ds
3Mx0g0kj63QO9slSDHZHWfl3Y5XJfdhJN5icp9piXIFw4Vmu2Rm7nalPukFlYBjODguYyax9wTI0
54E3ep8TTDe4TKEw6dUE+rayR7m2DhdVlsw77XCDTa1jopcEqyNeJpujudJFF+tpX578VCH+rv4z
TWGKEqQ7ND83zfzYrwnfaYcbbOpyKCeswBUOiaR5RumxWcdyn9LRBp60kvPUK66OvMf6ANfKvkht
r3bBU2YbpfuMV95bDxDqynAum6UvyJxV+xTzVBH/Vul4qEKFFlCMTLpi7V7y7sOu4IM2yB+sXH1V
CXUkdaJzPWfT3TRLuVP6BvvJjDvdKAc+a1lzZcq8kvuScLQBfuXmdm56kKx7fViGC7OuO1W9Af6w
lNncZyDZJk7linyKAepj+7S9wb0QaDHJU9Rs5iE9qIW1RYj2dp/wjQV2vSTGuRGAGbKYT+t0mDK5
M0I8XW9+a4BqNNyqpAfh/qZeznbal1ShDeIFhnufaQ3q6N1y0xlzu07HPeqQ2QbuaJBrlBkA0pk8
rfJxV/ogsw0SWzqHUY0D5CYyXvLUX5NSHfateIPFrPetVGoCLK78ys63ZKmv90ne4NAsBM2RQjDr
ldavFBnftqFtdnq+DRSjHapGRNhCZ+jrQd52fbnLfcCV4PdGFykRfqAQJunypgrHVu0yOvnEXfnW
mFNDk2EYAYYpTR+WdM3XlexLjGW2AYqtTDOi+GR2LhmOK3blQYZkVwiT2QYtxAqyuL4F4VXb3QvZ
pTeKrcm4yz1JuYGMyfgw6QzEh36V+aTi2VcJ2bd2uQFOV3kkewf5K2uG/v1ausBPRAQW99m43KCn
QqhJdNVB7mD0XZPGXMvlYhd85AY+bhLKTCNYuLXphTJLW9S22Vddl3IDH9fzSQzzE3zsWdDlxRK7
XQFByg18Fk1YTTHAh7TyomnX/oxI1Kd9OtlgqLGNHjkBP7h43C0nUa3LmAsd4k5j5Jv9ROBU+rh2
/ORDDHcs6eOFUSK+3LV8vtnSGpyCYLTlpzlIXujJyw+WhrBP83yzp4NdVWyC4ad2wfoiaRR5OfXe
78p9JN/sq7A289hrfnINdnmLGns7Y5bsxNEmjRiQXeB0DBs7JHS9bkz4rHtMX+1Su9x4x9CtHcEz
Ao+evmFizNO4j2Mg5cY1htLgmT7FCqyyQpFyLHhm0T7HKDaOUfSuTmIE4WZ2F6q+XZP6vEshYuMV
jcQeSsgQLho5vjQySU9cLWJfQiE2EBLLmuKyDeI4ZX66CQi1Nz3c4e1LsMQGQhx1VWP9yk+1HqrD
MNH2cpl7tlP6BkJNm2oI0p6fqqmz52zw62Xpq2Wn2rcQEp2Pqa8hApXzVBBRLUfFddy59q1vTOS6
zNnAT002houhWtNThPLKvkAqNgBFpU2yoe35SYbOPs9YtR7Mov3OtW8Q2rKyXsqy4ifVTChnZDTn
RKU/Mvcn2/h74pXcEq9aSDBaloDrstrpB7HG9aUeyZq7vtentKv5Tge8ASxvVPQdEuwkyiG9hqwJ
5WVdlftwxTegdYvCcV4cvEXG27ue9uSyMVmzz9nwjfUkbUJ6JCA0WR2kyzver7fIs2Rn9Niaz1jS
ZElAvMSpO/WJTA9WVvtIapJvzEeki5S8hqg99+quT6K96SY57zt78Y2PNwQqh7qCsNrUtr4iI4sX
JeI7E44tQ4ih1GZtBbhiNPZvmGvxF+VqsW9X2cZm6qmq+1iBYqIP9lAi4S4CZH37gvaWJZShkQj3
hForF3+Ks+P5wFe+z1tumUKWLI1Vc8lOVQjqHKWhx0mi5nJXCGQbT0+Br6cHCp7e6wafxon440jt
ToNkG09fz1CQDyqBtbM+Hjya7XXgbB9pTbINVnnT96MWFmyGTfgC0gJZrHhp9uXYbAPVuPZ8lAEB
mOoxvFCsqg4rSd0+T7/lDFlKJBCdZn4a5vZVnzB6FVrK9x2Z2AaqoWnaDs8TPyHvPjdjl10Sr90+
4VvKUGWlUWiV7BQM44eKNOGskmQfFxY4yt9XB0jo67XhkZ+WFqlfe2rIWYuu3nUlB9zn76U3VA/E
WMJPqZfJ2ZZUXCULCftuW+SWOtSqJOs0HeFs0IelKCVZciOi3QfVLXmo5H4xaZuxE9YWFbZdeCFX
Xe5zM3QD1ansOk0wQJU2NnldAtH0kHYys/s88JY9JEWgcSJgkgNcbV/rto4FsnHal5XRDVaxybyN
DaCprzHPkW3qUyIV/YHFP/nCP8ibtvQhqXHtLPQ/nIIaxzyO/XjdsDhdNq6X+5IaukFsFMquZQeu
jKZ4+dClaLjLbLbUP9D+P3iDLZWoplTAzTy8wZC59vlQmraAIhYYfy+6+IPveDKUP9DSU7vBt3U9
1XEJRsPZiXSRX2YqqT5AGJ8fdsWpLaeoneo2hf/YictQX3RpLc6jT3cWf8nmNGWFrnEyUXZaV6nP
caD2lE283BdJyCbG4goWDmGPnWRVCziMlOIMvACzrwK8ZRYZ1gQ46IDpKJrwIx1xfQQyN96HLLKJ
sUyhpPd0ZaeFq/nYtstckKbPdkrf4JYhqfi4wkkwGSt74eqhzFfWrfuSbbJJh9VTH4uojTgtDHwl
sBXlhZBy31WV3LKLUl/OdaUh60Pedp9jN/LruWqXN7vsfcsw8qwpp7SDrM8TjI84mbOLwddiX8a6
5RhNqAdIJ5Btaz8t5pBoMTx2lcP7GIByyzOKgg8zW0D+uCyY5nIV4lxONNnpa/AGrzHpmraVgFeg
Y/j3Eo31zWrc9AN//5QN/IEn23KNgEU71fzJKkfSTFVh4I6syDKXvbCkJoeyGdc8wGVitQ8EeBt5
4YZCY9GIE4EL28NIh+65m1P9cp8hbQAMh7ZVtiUUiirT9znWVBVpCnf7+6RvAMzjzCPqIElegJDw
FqL6kANzg77eJ30DYAYGs9AI+dSI5uka7v38aR38Pnqg3HKR4PZoaGLF+IkDQyYtWmjl7wvwQaTc
d9O1pSSlcC1uKnA9p97i9V2QJf0yZHJnEX1LSWpaMk8TE3A+mWJ8PbU0fUHHyvwAA/8gmm9JSRY7
3IhEgupx6l9OyZIWwhq3LyJuaUkSsUQl7ShOmZ9deVnK1L32YKjJPrPcMpMS6O7qELbZiQ0hy0to
gDslC+Q7u8xyy07SPQ2Sdi47jaMmz62x6CYbG/Fhn/QNYGnDZKuUzE5yhIa6JIjsbTV0877aXLoB
7IigJTINJDsJ2uvLblE2r7o47XM2W3pSW7o1yIRnp3JtgPzEiH1QFXGP+zSzSZIX6DnIpoBB7zxZ
3gEhzNtcA3nz1S7xW4oSF6rJarFkp6TBvT+w1fCmyMps2VdA29KIGGrHqKQrTwtcDdy6xmc5QgPZ
Z/JbLhEjYfa4bcuTYWk892guD45pf9inm03AdTXLHIW+4RNpfJIHi5KLzptsp+bZ90eHeiS1gW7l
8uk+0FzPXpEroI/4fXB96l//9mBiDbSsVc1QnlQHuTFHlDz3baD72GESbfBaqzKzUk3lqXcIHROS
6HvbWv9pn+I3eB3IuFQBt8mpnoFOyCeNT2yCe7B90jcBVsTMlVCwSE4qs+lbTpw5dLMaP++TvsHr
2jUEQXKcnEq7xGOQaXmefZLu2laxpRjZNhn0mJnyVI3GFMmwNC8FacjDnrVD48f3RrNE18Sny56T
IQbfqjTp38AR3RT7pG/qUCtS1vOwJKepn+IHHKvmqhRo3VUoEtkGrFToDjehK0/tuuLT3OnndWnd
rjqRyDZYLe2c9qOby5NgSXdMl1jmcVVqlxcTW9JROfG2S5opOdGJdUfg/OvzjId99CCxpR7hkoSK
rSw5+dZU62Vvuv41KXm3zweLLQ21sh5u7CqSnFLRECB8zHOXFjjUaBegxJbepAWRaU9h/RZ5foAS
cvme0LreCagNXBsW2jgqcDVhGfprtSz6klbxR4eqJ2/794cqCBXfAwriNBaLZOCFl2AuMfTLvWv4
bH90Inyy7T8Sv8Fr18FJbXFzcpIqsKooQ0Rn6HILp6ZXTZ1zx8W6D7xbrhOQjaWxNCanZRRz7iqC
ocHIjTulb8BbO45MXa3gkkkkV4hWNB/gjL4r/RNbvlMNXKossVV1Hmc20ytEGH/roDAynHY5ti3r
SWVu8VGi/uxDWp4YYfOF7sad3kGS723IJ5g6K9x4dk1lDmGZmjZfXb1+2bf4Taylgak6heb2s8ji
cPCKjQerGr3PtW3ZN1otCa+xTc40QHapnJnPvWb7OrvEloFTqiwpE8LKM1vaScE5P+GPdBqqXQUj
seXgIGg6UGPjq4sGJ6g9dC1ci/NmiDutfsvEmcbeuVLCmAzRUZRPeAo3vmuqfVa5peKsMFSqpggP
F2PwNDl0pupgmIiy+1qjYUDO93bZhJbYJsj+Ym7YUHQSdrWFeSX7DEdsIm7PJEdlU7GLTsPUD+AP
dHcN8fOu8rF4Gq31bXbsmjCDXcbkou6798vM2kcj5vHjLkSJDWAHOenZ1ra7nAg1v7JUd5873/6I
vMl/u7f7A6+/ZeM0AeGF4tBdqsWT6ppBtahMz8ITwtqbBauQZNDgM2p03Ukn6G0zz4k845Qs5eOM
CXq6oGv1UKscja4LOlfJmvjbhIp2aoukWYg4CZ4o/alv58XmAqO4kDxZLMdXyoWmswVZywyddD2R
5lMSSQd9YSvlc/pRPD0SIYGs+/UVj8tgrtoyq+2tUEK3V6ySXfUxtKEPdd65MQ6vUd8H0xXN4j3V
ObxEWX1K8JxWZd4g7PTnZE78vBYxC7F6Wy5q7qec0kSB0bllKF+4lOp4Y31c+VCM6ST9IaW2KV91
EwypuHVwb7smBw2cUf1K9KFJp3yOFYrisHQLG96ZYTDqDF0BbXeZySBZXvnJTu4wIWMsvL8Ka3+5
DjQDWj9KVP8Bd4a0z6VLs74u5oFyf+OyCfe2mOco5WdLu7R/LhTr0QfrzYTRYUptDacvB6NsxFC0
WFUVvKyXzRIuJ5DZ94exlzT9tBrEVJ/Pstd1VywklsjmwFnGwuUZhlRxgNJOOXXHqpxL91wvrWd3
Q8VGkCBZkmCWG4YzthwrIA+wF3psG/08w+tkLjI4m3TwQiV1y8mPKZw7Vylrc6ej7WZ8gADv1rNi
Cxtvx0BMb/I6AZ7B6zVj2JvCw5y6qs9ZXKvuQqGUJR8t8cvY5jWw24TKp2jb6KAGEtk851528xgO
wKsjw1xAS95CyPWizQRlNZQufs3L2AqmzzBVylRj0a9jwuAypJUlr4uUZLS7n8g4z29DjaV625es
nwaYDADzbuqCchxhWEJCKqIueXCM/1qP2OgvHolk1Scgkq+4zSeewGMFV5OOFzrCW6XnxZajSXIN
0xFSlKetgO89thnQtQATswvyCxorRXRe676E3sRehjb5kKw+MF0MaiXrQwqzVZLPFAljD9Dn4PtC
6S6zR9LNfWyv26V5ApjoveqP0E/usnhQrZuyeE1rR9LhpJHgvj0mmfIEFSwQVbYHIWs7P2KoN4RX
0lZLPR688yUvmlB95HFw4qhHL/scDQjMfOhF7R/SEXT0udcj7ipQnk2Xqxa1VtxAE/uIX8ke7jvT
HM6N5s5yXl/NaYNeZjgz9LObJ9cUMOJrfcDrqA+ELgLG/qTV+oY26Vx9rjgn9FyJTIk1r0hUfXkb
jfPNzeybhc6hiLTMmupDUGBUzS1dVYbrK5hmE2tTzE02qPcjeAfqjoOOolYHXPLZXRldLVN/AEpe
pfsDNQuf3/MEjetjTIape8vHLBE69wqKyCgPhPr1TqUlhOODgciQtoWZRaPXHLxHEvvcIbhm7E4T
3OMP+EKgCSZcnaHVkY9lbmHqUP8F2re6Zc4rmMjiO6CQw2AWmXu6SDzlImjdf4SBbsBeOEVI5kxW
wAShZnL52GahyvI1oT0CtS8w4uoDA1eavRpwO/OPZEl8hfNssgOFtc3TTL8YPxB3V6tR9h+isy61
OY20C89LpHG8n6tJGxjVtqCuPpuSTQNMoOo7mBSVo6BsnZ7migugCTTLQBp800wpmtLc0LYn02GQ
JQEegcHJmH6IYV7QUdCG0y8hgUOYuRxdlTlzEg0U+k8pwuPwvJ90aF3e1HFaTwwuQsRrBZMZ0CfY
1jCXuYyS1TaH0DBnL0PrsQC2lQNOCjwj2jh/0sQNFVizjigd8qRqIw7npu980sNEoY5XL7giSX/A
nq3oEtXUQ7wQfJJVnvRz+XlpzKTuGmHm8MKVPcNn0E1FH4ykNoUeQMlk9RYCfdBNbmRjqylXo23n
S9nTtY/Aq5YzqnK4H4I78MLTqcVzIYIJ1Vuapc5foAGP84fRzLRNip7VqpmPxsfez0U3RzTdhR78
zO2olXkazIPqtEghnWwOlVkzafPRufROKOpD3pqlxjrv6BzN+6QMfHV3kNtrsxwGlnHdXS+iW8Vx
TscuXsNNX8JQjnE7hjPQhlO65CXUxozMLXKL/cRMpDXL20zNUJxU/UA7nQcFE4EamM5QqRdahAFc
dllGeg/Dx0xrD+ukfTrn0HszdDxvMch4P0qRjS9s02jXnhXSqpHnNp0GiY5plSb1NXYtGpcXs5wa
3BbZuOBqvSXrCnuV96k3AxAI/IJKdHA4sdoeWg6b2xZ993S4zv1Kku6u83IE2EHv5IL74zpDka/N
/cCqVr4w/Vx9LBPHICWIg8fxMYV3X8tcEKynz3SeMyClxTFt59wksfUXFMuZFFWCyrnPYZbgLF+h
kELvQJWN9ZTlzCxwpP9Sl+u09KcObo6yt+ABEa7zidZZckKYh8DPA++mRudtq/DyaenXbrgucbOg
K92LdX7TmnWcbilanEeF75uaEcgtVnACTd4BHlf1Ns4jGEiBRy/SoSCMwDjqYonYxnfg1XXyaxCL
wFWusQWeQqUzoh51ZtrhzSADcdWZOqJkWvSG99kNQ72seBGCa6axqNPO1RdLG2uUHbIpbbsp7xPw
Tq/mREzgkintafuS8JmHyzKLnt+tqEFTBTNLarbqAntftWMxgE5knqQVAZYHpKRhLhpVOWgrEikm
5nXWOgjluWOK+V+TOE/VY6dLOnbQj2HnsOQT3Mbrj1nTwaSYPJmNJu/TKdNE5f3g4ACTlzKsicuj
ghlS6XFc264BvC2QELJ8MnTR14xPA381wTtnr+uV9cbDTuC0hyIs7+sWyl+Sgzy+Vk13JWnJ9Duz
BtY+CFx3eMlpS2La5yYbUv5QswrCQI5rbur31VKVQwXduAnkPnnsWNlf2lHpss4pAXbzu9H0NWry
ekIqAQVy78G0yqUW1ZnVkMfiooaxnRr84MSSFPoLYAZMgAxqgGNxXlvTlZdKhRE02CwxvYGcg8p3
xIBvPHVr+jRGrF1hRNyHxZGmOcUez0OT09GS8qNdMzfewVIYOLkyGDtez8iN+CW3VCZ5Bsy8NBe2
Da5IssanptAwe6985Uoah8s0GoNPK4X9gYR7ctlbL1QcoClxrJaP5SqGJuSLSoj1eaqQo7fJCpi4
Q4sG8lne9dnauLyuODM1uFjjM3j9xVWaQdSYWttCSkJr2hxJNlbicWxgOlqXd4hl8PdWwwXrBbMQ
pd6vSynEVdTSsQ9VCv7kYXWgsLtm8Gx6oZwl0/MIxBZ1BVQoAe12cHye5ZVvx8F/Sbu1nY4IJpey
kE8hVe6inIgOH5oOxm68JkBKVK+mOSHB5Q5aiZd3TT02/QXcx6o5zSXiwr0bENyZfl6tTNv0SIYp
8jnHcEk4v2myHkNCP1Vzxy6XXs+1uLCVNtAaWqsk2Dwtu8Ae09BoBvG1qey7GZwI6AcqcjUDHcSk
hF0APPf9dVytWe8RkPfuFjhqsRsRkv8h7cu25LaxbH+lP+CyFgACIPFyH0hGBCNHSU7Jkl+4bFnm
PAGcv743066uTGY42OkuV3mVLVtIgMAZ995Hg4Dc9eTDVPcgP9ipTtXnNE2zofSRIWlxb+Uqz78x
qEtljzmKEOyoM7zDX2PT4k36uYiUADuIKhscSsp/DFFtqY8zFAImJE+jRURYEQj1nNGEdrunumBd
8tustIvtw9Tn86MzVkWJ11bMXXUfW3PWeyxOxuqrPSGM9JpGOuScNXHT3mmSTPZp6NM8fxKiScrc
G/KZlWHR8LqFFTD2lx5orOaxj4YhP5mss6zWG0jlWk9J08bsR150Y3+C52snrwKAjnpwiw5uJc2Y
CUg3ZORO8z5SX6qmKjhstiuagKa923yeKo56JE55wSMwi9OB1dVLhGQfLTN2KD33eVRlh0G0Vh4M
7tA5n6zYTOxGDzF3wmwZiwJcsEkVD3ax5EvslQusz9Ok5kn4daX7Gt4mjoy3yMz0t4SMifwEHb9y
yP2ocoouPrjU7fknlOGEOWbTkMMSjhxKbke+OIKcGlO6zoE0ZohNABIxHw8QakiqOwSfznDjuDGV
h9L0cXzMbLzQm3KpZHQQfMmQ7Dopbe+iISerGGlfp/ltWvKxABaEjnl3JnPXuwFDvls8DABfmXOf
LOixygRq9rHX4yeUoQPlf/kwCde170qClkggpJU1+GFBQ3I8O3YXchtpmdffY1m65mvv0JY+0gJR
NBI4UGXkY9yYXB+06fRwJ0cmmzOP2g42n/YDOadc0+kODFIoUHgy67j6Ja/TZjq66TJUTzleMYQX
soW2J20jqXmUg+ENQis3c5IBFSOmyvsir9jyMEgcdFX4vTURlp3FHHNrCQDnS6vUj6zZUVDdZNKy
vX9W5Ng00UTZUqvOeHye4BGh3lLWLVAw6Bv/8s9+/01dvmUR3tWgk3MxkfYW7XXykFf1PyMAQNv5
df2HlV3vIE5azqJOjDca2j7NbhN9/Ec/+5as44hFt5Vdj+dWpvSGJUX28xox7zS6nhFZF+o/W5pq
PFIdz3Oan4u6SJrswOUCvUbKdXQWwCKBQgUxxzjoJLNw7ecSOEYCge8fqcqRa2V1LB5SXKQOBVOE
Xsvk80bp2bO4nm04Ihc0uID3pYt/wDQ8jk6srVXjZXnDHK8ogHG9t5RTmZt4SGmCa23QEyPLXOwp
ua4VxEsb3FQWAZaeuzibxrNykD4cB626KTQRHf+oSUfzIIeIyl4v+G86NFve7NTmtjWY2ZwH6N5Z
N0VaK0sEdkpJHah6QRnGE9HCRYBqguX2fsIV6meAyFFLoCS2kNmDxxjNgYrO0sepiIwOVWkzcSeH
yMr9pgJzqz/wLrdUj4KAxliVh5QVEgEZBqv0bge1ZGMa/QjA4Ng/QMwlQfJgEre9WfFltRU4UY6s
+pBmVp+LQzHVmRMwncwjLCbsDjvlMmbTaYg1HZ9KzGahllfIoUwmLyoiCHIhm0X+Pp9aW1AUYtol
NolPormtAzZCdehQxtZkhhvuTmp4KF0ZQw8sH81YpcHzk/hLR/7Dn1/vTz3073Uz6zRO/prl8j9/
+f/v/z0g5nnsyH/+/joN5j9/9Tj80F2vf/zX/a+N+a9jX/3+PCNm+++sK//Pv4SF//pJVuH4V3/x
RsL+b0Tq/xw/8ze/+L9TsF8ZEH+vYO8nafHj38MCVk349R//S71eyn9xCtEJYdP1tf8lXA85+39x
TJ3h3JboTdGVDPVv4Xrq/Au/YjsutOmlZPhHXwjXy39hEg2EoijFGANA/ez3CNevj+4/jxElFRCc
Ed1LyZkjmb3FxtlOYWcWnZZbihYRipBuLYuPnXaL6DOrUOP4nMRZvYP/eIZOvVyUEU4dKqVwbNQs
5ZZbkk4iLqO4cG8c7zH2Pv189/DTxz3S42rrr62xgSWoeeCNFLl7k3tff3mKvbvI2+ktP4trXVti
06edZVO2i8IS5vDx6/3Thyz4sPjfiLe3Fbp6xWsLbfxay3UB2DcWulUeDZ6SAJtBpr/TpX1GWV5Z
Zku1ilhCSVbjs+TRGDT1ySlRN1mSo2QNugXaj+wygOCacn6iKC+ScvAshIWoufpdvng2v8lL5fVN
/6dx+VuB4Z0vuaWX8fnfx7wcHx+Vf3rQnvo/LrHplrYzEUNUYOel90viP3XeA/P2jndtbb04Xdx4
5trMcRiwDhhhsYWDNHG0TKVyuhOaN+PByqH2I1Pb9trYcj68MD0f/vxNX06jeA32xqQMLCUpSrjK
obAiW3ZVY0UMtc62O6HuXj/Fwr2plikLRwvYnFGNndflUIu7vubGkHCGThNxXDxodOJhTjbtMVSN
M5DdRBm2hprjQkbpiaHXAWT1qpsSkfsOZueZafLyPNcFUSEhMCZcCL5FtkcW1CQ0Q27VliC9MbRr
DrzS0q9F7gR9M7ZBnrfRqcsSdUi61rkVQjehoaPr5ypuj3Hejb82DdGN31Ha+1FTuUGRplPq9em0
BNYUZZ8sZACeEaW6d0CKBVgwrUMgWN0TcKbdITWDc0apsry1srw9cKHsAKy/9iiYcf3ZgTyFzG2K
/1dC2nsoxfH6mb+ObmCyuQTbyWWCCMJcJPG4ci/GStQdhI7LXsVHu0nIURVr9oba/3tXAfCa2jZG
q6CJyOWWDDVjOkuUk6UFbaZk/iii4aitfg9lsX0eTFHC0YyXjHOi4Jhe72XRQKqiBsmPXaf0l8at
ELW1Yvyplw7diQovLEVdBhAmvDLc7JbjzPKoBD424sc5dqogx8qfZ6QOB3fh/afrX+jSUgrFM8GV
gPvf0nrrcnbr1Cb8uNBYHDDgYUGqjlYAUsP38Y5wGZSNB+FQaFlJij7V5gAzVi1NlCbyiG6eOCxo
0gVdYe3RQbemBUOrFAFNh+IqIDzZgm4i06emG1UfOhFlf1QNXRJfFzz9o4gUzNpinOYnZQZV7Fjo
1Ze+fO0ccQ4G+QjhcAVU65b/RFhCwN0aolMcxzX35FDor6CLjfmxImn6cycc/S1FrIUqJTVszz9s
jRusG0IxTB6Clj2j7haQXJYsaQZuihA9tjb2F9RvRTiZ2kG/QufkExtUvKdTvT1pDlO6PjlEgMoW
6g1Ts5x02VWWPA0QjQlhdeOvDUBmvtGOjf7uUh8wMrHbeRpbi8IFp3Aa+A8MC57kep9fWBRRRgtE
zt06BCU39hIi6ntoI6Y7iK3tq3heRSGKtaHITrDJ16tQSeMZD7AO286Ut7SMak8WojvmZnqfwBnM
IzwDgY/AYWI4ENsGD/EgAOt0sSGp1RKMDnIoZ9mVBrywIdQOFUwxcVHte4OHqtsJVOCqCceK1QiS
MCgiPcaKJyxoW9ihHdT92+Xg0wX2hqmIyBu2yDSIeURTzpA9j4QXaB3Yya1rl6mP5kLxLnb5en4O
R5wucA/h1Z2tVVl6q6sTIeeQRJF+EFGhT6RR004o/fba4Vm7gHxywiGPsQ4ifHntLAjUxU5p5pCW
ABJ3Y6pDq61+u26LLywi0H13kLgDdSO3RDvT4bIpKxvDpqbLIRvrucJgraT/4/oyb2wFTosgDlJr
eILcbmOHa3eaWk6LMQSEjT06fRvdMaLb+2Z2F9/M0/z9+nqb8Hj9QsLB1yEMfhoyktvHJIom7ud6
CmXF448SnIYDtXMNrFDZBq0a86BrOnZws0hiEEBa73y6C3fRocTBPAFFkD9u9VNz2EsnYcMYGpFa
h6hJrdQbEzJ5BfToPl/f6oUv6KyDQCVKe4Dbb+UaEKZjeu1ARwy5SvPCmwvFfIW2717189KebMQg
hDoEt9/eXMeoMXaW2WoOQdmrfsWJOiZ0K5PSU43F6vP1XW3TYY4oDqfn2mr1qlRurYdJe7Bh7cIK
0Uex3WOCbqT7gVhx/aWKLesBzd7SfMtK5T6Nket+ArnPdiHACT1mr+4Lle1Y52fG2itfKwWzhWBE
Kubim66f4YUTiCeZ8WwkJIxxDgPKidOgTpaD6vmRLRj9ELQdoESYKYOgN4B5J/SYJ3JofA40lnPK
o6mrQN1xQJEtAdkpggRtji80TucPbKrsLLh+fm8eAH5cBw5aSAov/eb4JsyI6Et7mcPMoc7vVWSR
dXhE3/mJZuJ2ZHF2RMPb3PfO6BwYmfdEhN446nX9dUKtkvh6cpvYOV3fCF62czjbbeSxSnGfQk/8
ZJel/gqmcHpXYe87l+bNFcWiqNzYVAn0R2FsXn+jpV+6CVSaOVx7Yb/kaih6P85NjWYcrcwePPzi
ahRTEhH+Saq2RIlmzCc9SDGH0C4Yzk7mmNRDg83xWcLIzvW7dJyujTQAwYGAR9jsDM8+GvsOj6/o
0NXGYKQUZnpO+1DV6XhAx3g6TI4DKPn1W/Qc2mxvPSwLxikShkHEW1WGhNrJ4phpDpe60167JEV/
Yp0dfbBTd+R+RqqwmIdj0zj5zwQNz0c+yUNc2blvYxgHplkN6T1F2gL+ThF3bCcwe+NV8L0RBkLz
ShAUzranYqWOVYyQ7g9n3gk/qcz8BJyMNXpW1+lbmxR7mculz6BQFMRsTYFPscUZR5CRcKFxREJR
yMLP0Yq+b21Tf254Gx96DfgYFH/2pCIvLgpDiOImJ6h8rr/+wvKgGzdYImFL2BZjAYxMxvUBekjt
TyzVCeSGCSZDZE1t72lpXbjfKF7YKN8jxkeRdtOWAmwASVWXkjAdVcMB0FDGOhTR4P4OXIT++fpN
u7BJGzEpEGlcIV7cylBYk4qK3HHmMMmJhVvUocMiUtk/gK1WHfBz9B665ua9gdzqxxAxMkSMFCNw
Vyv64mjlAEKcDSmvkKAu2mBsHG9bn4zZO1UcETE+LwRrvB6kCxf6eiEIT9sAY05LWGbg/CKhykM0
+/qd5/omFMAqEu8Um2JwmdsSMmkjB7qLNQ27RddDIKKxIgF1BIC917/Wtsr7vB+HoZxGOGj0EHJ+
vZ9KgmUS5RYNW03IdFj03LcBBkzGi2/H6/FR1IGfTBdzNxgXIJC8RjMT+0AyO4nfjQVxPNKIPA1T
NxXvo3/9edqI0IHTx+2leDKvf7pIRVUDUDoNs8JtVFBnOfrukifLXnnh0hN5udDmsyJXLaLZxkKY
21mtgNTWIl4ztcUnqlsIL14/9TfpPkwch7uWcOcIwrYPsm27vh7zCtbHshwfoF3rZzTS2dlMU/lT
KYzzmGqmA3TkAAq7vvSFcIJDAMmBoDGCTKj3vj7RORrzuXBgC2ao+D0JjDUgvm7V9Al+AVBvAHnI
XWxF842tBJDcQwHk3/Wf4MLdRnqHvUuKP7NtorJK2bdKGhLKMitWXV5jxpu0N416F0/i+fLgZiP/
RC7OXbGtE1czQB5V3jkhiQUPiqKZAjN35ftdFzIUREjwrWTt+rw+ULOyudUUOWEkLInafTlOKhjG
tPwOQ5Tkvlki/vX6CV64rM5aJkL0jjsrt7VhltcA0ySFE9ZA7AU6dszBnoEsRAq4J4hxwTEreEmY
ujVmRgXz9e4QGbm06ChHGbrrfinzGJhAFVlDoNpyHc9ZO3oPIrDtB60mSSFpYLZEvVRA+uf1mqLW
zUxpzEPAqFvnaGZIBXpJW+YfNE3aW8wabj7Fbdz/wTt7BARlSenHeihkvRN502eF6E3QhGwa5UbE
CRQnvTGOKMKLkiyZDIeuV5mfT4hGjh3t2o8Wibl8gPiXXZ2AUOqyU9orQJDyiYnvXYyR3EeWdzLD
C6oGcZCY6vwlixP0rg08SH1OMzZrDwDXxD0Mmd19qapU936aRiwN4oFnhU+qJfqpZrT4GUjZ8gHY
K9N+tZdc26BE0OmxlM7Y+K4BMTAYUNiSpyRuouZoAUNp+zOz+Hib5G0HqUWuMUlRDbOT+cIt6e9a
Dx0A31Zb3yVQxDbApbP8S2slJYCDZec4h7Qw9SfRDxyQb2ORxWuMcYZDzTr+HeMyxhnAxgiiDm1F
cSTjbKmvvSqdyYcoaK6DXAyWC33NTo2+BQ6D9svcjh7RHxrqT5kNcmng2INaPADUauiQZa3BWF0k
gRjP1rosOiwVn36hXWJ1j5hGrO+HUYDSIBOhfwEA0cFPjFrXryYChP48l+kInDPYI1+6oemfwFuq
QFMxC32yAT/4MWvGv7sGU8FPUM0cP0pVQHQrnzKAkpaIqRlCQcjsEIZPwv5YUAmZ5mFm0UedEmv2
5qVTHzrTUArSRRx9TyqwRrwhi5qHjkSDE2JPw+e670X0KPsY3kPIjLSHotblQ1/RxvhQvMOkcG2P
GHUAkGz5y0jQkjjZxi2A8gVy8BC1Yw9ixjDHYY/fI/dKahLqi4iI7wCNjdhP21TVLdjopPKdZWoT
L65ztEQk7wE9jnr8QEdTxm57TCtkpR8JBn/2Xlm1lKGePJnedwubRGfAqOfB7xjB8NvEHnLjY6Ya
C3Pd1OQ0McgM+DUrjR3ELQZte8C42d9rEQvl5ZSOjp87eihvMF+n+HUq++k7QsjlPDu5C6wzZbr2
BGsxvU+7U/Rb7JL6N253JT3Wui+I70TEqg717IKYEhNpgtwUGgDuEdQCAopYmOOeAWVHuhGIIAsQ
FdyQCX22sZhKfojhJP/4f0M+jZPJWhvu06y/9YzqpwfeSbNH+r/gpxX8nKAOMlEXpZnXliizG9Va
keEhIH468TQp2vyQYy7fVx0DH+PFQlehBpkHMe3QRXup/wVPCYoSisiot1Hw9ze1r9K2omokDQs7
mMkHjY5FUALKtGPmVnO6NXKwcdgf0kO0cTabnOa+s2u7ZCEz1lDPHuIDeH6XAG/tEXhQwPOASP4t
cWZT/3HdkV3yLnDP6IvZaOTCi74+X97X8RoqsHAuMsC1q1TMJ2OT5ZNoXOcEOalv19d7u1UJOAhZ
6z7INtnWs0RNVFk0GUW4RGWXe8lgkdRX7dj0t1a+COlZRizTMVkshL/Xl357lRyOGgrDvCwQ2N70
c9F0oilIP6uQD5D6GA/k2L/FaU4yHwIwwGuVtVP1h57BtnpAjKq93PNCGQ6FW7Tq1qQFudk2cenm
RPJZZuVZpjKJMbPXTcB9TSsAd+0YcfahQ0oHxpUFjZcQfYAGkhdc29DtMaT7zElV5TtH8jaMQSsP
NS2gBRAC4xq8/vq5lbb2VAAS2GrAZtcByOp2NlTcDDp1f71+/G9vGtbCW1Zos0GrYqtp0EDVuKpJ
kZ8r1+4PiZ1ijjZl/X3CR0hPuUOys7e3Nw05CyADOHJUrqHZ+Xpvw5ByUBQXN3TTLD8BEeR6Uizl
vZ3N9AQMOvXAYDA7L/nCga4FQozHwh4Bx9gsapMJ2AxhqxCWu3iAIweSeZbLIe4J2dnfW9MEQUYY
DNwJCZT8tnECYpV0OmFUWIuGHS3e5zddNu91zS98NQfNGcVQrkUnext/0QhzgYC4ASiHZBZcSGT9
ZJJxOKQjGfFKabJTRXgex/naFiKSRz8NvUE8FVTjX3+2bFrscULWhtowqwuUvlyYP9QzbMD3x9b+
iKFCozyDRWjAmqVRFJ2yhCaPZtTOh9QC38ZzxwmtReDvradodkwcABRfFvcZ45XwQIJb+pNpRPcx
A9Y9enCqmX/roll9XtkVewCKC/cBQABke2jduYJuu9npzBBaii4Kga6eKHAgEQaT2QoXyJtjMeXv
v34u4D+oW2DJtZT3+vAs46pmAfInbNrenT23qkrrgKqxfuJFWb9PdnrN7gDHWRuSmALJVrv6erV2
ptpywK4Mu9IgvIwH+a2Xpd7BGl2451gF6ANAjdCX2fZkwASlQE7NUViDW45gJAe75DMBtcbdWeiC
f3BtHB9x4SdWg/h6O7nDh1byJgoXJ3WWAOEyQ/TnrgyrvhSeBgH10LhTgqlyS7lXFLh0UdZyANJX
XHvwZV4vXqBeDDwxi0JidekTIqKOfc0zjOxmFqh/T9dN8aXFUBpEkoccFoCxTTUyBolyVNNghZaG
QNnQZipb51qQ80BVery+1gUDgouP+i76vIgy3sBupqXKOZ2tMC5UGRRD1wUkZuOx0+Dk4XnsWMUL
Vh/NCuA+UUlDw3drFQXpugnyXFaI1njyyEirA0wXKO5MXlQeKHbWWdNS7tyctxUd4FRQ0od7RzmH
bF1bNyTdBN9thQzcDeLFJUkiP2+pEYdeQscukOUolWen1firBYbCiRkz8x21kUs7R58PnSL8D8it
zWvMq0mWQvZWiMLlOvyrjgAMG2Ixjke7GGYSLCoGWd6NZv3T9U986YVC9Iv/WU0Cdub13cVTTIbe
lFZYtIu8LbPF8mOkszv7u7SKi7eJ/hfCVbEtm4EssAjt1viy+Zw43og+nB1UkHPe0/m9dGPd5wAN
rW80KDbbkYOCrGSUYDsOqkmZ6hpfpSCqxqi56hiMq+und+kx4lmINSpC73m7XKfSrGhsVwERY3jA
7dqg/dRJb86Gf/A40ENfe6+ApeGqbK4IpFZmwvoiCvu8Azysd7P+I9TVOJCMZV8CkcobbC9rlXq/
EYA9VfhDANLF3xiBGle/W7DHPuq6EGXZwlvoIj8XA+ozKLZWh3efKc4S/hZ6EIy9iWtFgaL6mkyG
BRVgkkYUk1cT10bxEZr015e6cC3RZIEZJUDYo8i5Mdxo5Vc2LVoFwRmRPhQMox97KA+erq9y4ZKs
IRhcLqCLuPvr43/RXIkBDRhrRPJhnBfTrQta3yFuafxDxaIKri/1rGq6icDgGxQIBTBpmMW32REr
GvBBikyFmTI1eGcDZNgxHG5NvmUM+gcvgqKLoKQQ90DpmWHwGhDtf9b2Ep+iwnJ38B8X3DJEJRAB
ABYHz7wttRYobJR6Wv2/aXI0Ct26geiKHm5i1NH81IqLQ6olIj44tHbnLC4du22jUQCkM3L7rU1N
AR9zID8Shei16OwO+s2AQ7kVBypXYsza3gTvi8shR4XZgQF/k4yndtpAHUkgWsRsjHMiJ9sNcCXG
DyMEZ/YkOC+YOSVcRPX4M8dDWX+YF1dqjBYF0j8+M+hDEgTWyfIQ8dgeeIazZwqidh7KhaIyIlN0
BgFSZvhjGwtLaxiLSnQqNMUCDZeyY3bp9yzhy2GOiLaOEnOBsluU+U1+KmMz1Iekgh4Q6qHTXOw8
qOdke3vL0eoW0KJ3kShuU99s5IZnoKKHJhtL7isUYdobDdWN5FHXGuVW0O/c6BAt1jAFVpHnt0OZ
TT/kLPuvCQSSOg/yQzKGCEaaUfgFWpYnAnrgDTSWbIxgh3ZBdLj+Mi99sTW6eC7Nr53J11+swlyw
iSxJFGIKESTolZ1+I3lefwNeDioTVTYItnP/3749pGLolK9JBVLarSkA3zYSCS1dgAKWsT1xM9Bv
ESj4JAC6osD0oybV+SqRxH9ajFHvG+G8JhhQiEWLDK6DrHnuxl/1wuRqiXIXcZWtlT/FMnOO+QSA
345/emvE14U4wI6A2aw459cnmwD523ex64RtHLuYIldU577je3KLb583VoGXAGANxRbcuderQO1y
Jf0arJInxZEuAw9KXSVH4BKnnet9cUNIgUB+AhwRwMfXSyVz3SfAKTthEQFEo8APCBs29P71C3lx
QwgjUDhEVQdR2etVALIli5mlEyaOrgKjaOvrgdhnxwI9/B8shVQaxUi6ApI2X4jZMTiqzYhSP0yF
71ZkPjQqmfxlruk/2RWkY9BvcuH+tpe+An8czog4IUaj/kwBFgIQezQnN2/GHdf29kGvCCuHgMwC
+Acqgq/PD/oEab7IyQGwq+7OKa3cIynz0Z9UxcB1svcmVF5YDyBigDkBAwScbFtbiRKbVUAXuWEF
4cybGkJ5EB1YzKGyzeBTOe6Z/EvrIdrEo3IZ/rvlQVR5lSBw6GA+nIx86NHq/oi8rTV3UTmI7ySq
M7aTiV24keBAALwJwN7KUto8sRgiBHlvNW4IcYjZSyG74KGD/6zYtjeu49JS+HAIDhBq0jdwLgcC
W8CP2W64VIt7A3EVE6AFNAUVr4YdM3zhNaNqiIe8hkBrCPj6nkAEw5YdnE5oD6jSdhpqVpO2xp17
f+lrvVjl2X+/CAhsmgHHOxs3xNMA+FKxGT2/eQDDPe3CCRJgh+tP+uJ6gOdLmA8UarfggBHhG7T7
NL5VvVSQgKmhmgHlPy+e6urIeUbeX2NxUV4BEFzhYqCctDGKljs4qPHVGGwzRPHBMao/SgDy0OWa
9tgk6xd5HV2gCAzu69pGRxV4K54MvTeDgADDrIUmzO8aNKZyjhuZl0vuL6NNwsZF97kFUyEQmWa/
Xz/aCzE81gc8AVUQgOvQb3l9Y7p6wSRnibMdnYw3YUrj/Idql54Heeo6hV8yaeoPc5vr8eRq5rQI
gGzzE5QazQ3o+mu3eUwg9nT9x7oQTsAWAOEJngswVduYq9KQNtGT7aDuJOYGXPOa3mc6cn7t+xYy
S2g7K+O59tD/QVuBFvD11S+9InS5QHRBiQ1MwvVBv7jf5QqNbhUCXqktE0wFtAJBI7bO11e5ZBZw
uaAFBR4P8CEbm57EDp9SC20HJ2/nB91DDiUbZjdwp+b79ZUuBNQrORue6pmxhHzh9YY6PKkFBR5M
TJ/Y8DhWAGv4FH0O6U9VIb/xymTQZVDxeCYEybaiI7q9HbQFrv8cF84VFEnXXXt6SCjeRGmY8wOC
zaxCiJXlD5D5hMIIdHU//4NV4EzQrVJAF24tu5Y8h/QSVSEEZtLouToCFPbsdnvqEeupbZ7uCkwH
xQJdhrXc9PpUkzJecRVxFIJkUEdBYTDkNtCFzr8UBfQlb8asaO9t2kEF7voOL9hDhuweuwOP823n
Y9bovFd1gftZ5PSuw2nfQBszvuex7vxqdvdmpF68PyveENA+nCr6zq936tSQGKE5RZWE28O33I2a
ewn9CPRI0DvAFNXpIFLEqKC7qpPJs/I4UqjPvX/TaB/g/kAeAMJum9OeINC4mBRdLKjZ5d+mrDbq
JJ0yU15TIWA/4G8s+Y7jufBEEYJDLgENd/jVreNB2WO0SwVH53ZO7+slST0bSiXHDHqb/2AprIXS
zWqGESW/PmJbzNCsFQl8HIAMn4tU8R8Gxll4SSmgiHr9LC+YV2BV/7PY+lBfGDiIJU2VmJHFyD4h
3LcQhX/rl8KcJ8DHKi9ZYvoBYA/X8WoghKfw+uqXzADSjbWxD2k3srVGDL1HrmbLDSHCWz9AeGy8
A1OA7YTMl74dcqjV0LC1KLP++ss95ognmn6GeZ2FPnA7jf1plvyQtE20c5yXNoRKKVrIAIq+Zc3w
JF4WUiDqivqsPefRkgYu5Hn+wSqAYK7Z9drIfQMK6DJw7Kpchgk0wE6YBFQHS9o2O/fwAuXGZWtb
EGExWUH3m4uIAvbULLKUYY1BDuDaUfNptiH4jAeOmh6EQP0mmpNTw6Y0ME1EPMhTOncAj6FpyXsr
IBbkyhyn1Q9lFtdetGRi58tu7K5EjxnFafDMkCqgvr+1u+3Ma1Cv5HjOzNB9gMabfZz7pf5cTG57
50LNI4Rh/n79zl5ccy2qonyL9sX2NqVzbTiNxhGS22jdBHo2xS3igi5IIf5ZHxpOCsAEnBxIyOsL
b2w9NouUgSBBVwRsizfXuKy7CpKc03qtRPKgoIzhF3wofq/Lvv5hZw2u9fUFN5f5zwVBhUWlDwTI
N4BVzSD5mjDTnpvcMucFokgeBr+aHWrN5VVQpF2ZXQAnbIIfCv9lWVMHicZ6KhJPTdT9qDK5N19z
YwT+3MxKbVjVIN5+NhonAkztTp/1CKMGnT6znKSI2Bgkdjz8cf3kLiyGqiVY71BAQO1hGzbWNJ2d
Nk06TGntrNsuyfpjMkXlwwwZ3p0nsDq7F6HHui9o8SCYWkE58FDbRzoKSOQ0kTk3jWm736ssQXGD
9XPxUDVFDaWmVIvhBgPPog/gjhQP80zH7v0XBYU3PL/VvCJM3wSVUteouOnYnNEC6+9Q0VzQ2SfR
l/cfKnAeCmJ9FMZ8m4pBp67uUiBLzhBqTjAArfxVZ255cHiz1/O68NLWt40aGEA5a+nttcOYiBoT
Ojn6DD08cuonN858xSEF7EE3tT91inbvJPusnxGIBchJw5wD0bytVTV13E22FpAL1Nb0oeE50lm5
qFvW8r0hDdsY7nktNNWQTsElIqXdbI+3CjFwIfozkC9tecPrJIGeHlRcAd5Umt8YoesfVT5DiSQH
SRd2kDyxWO/NxLrwSHBhAJTEj0AA+V9//YVbLpk9sZYt3RklkOVJxxGkOd3UWOA42HukggtfFAcM
7uwq1/C22+5A60T2adqfU1PNtxaUQT9HbV92oTDSZT7Ux9q9Ws/bJSHQYMN0onYPXNd2e24xV1WR
ZuZc6LE+TEIeJC0gltlA8Lsas7/Uzv5WkOitGcVyEmkydrn2gdZA78VpLiOCrKRz9RnIpv7cQS7h
ZGGvwXvfIFaBVAcgeaiY47W/XqWALi2Km5E+p5gm+dDYGPZQxApkKtrvkYi21wNfCsR4tJ7heZB7
b5Niq+WYudJbyxksz/bG1DbSfOLURxR19Y79urgUHvtK7EQutTXXICktJQYzkPNEkirkVf81HZvx
ENv2O+sJqFxhUy9WWi/Ni69EZxvCsF1NziJpxuPYR5gyZfE9otLWJ6yrYOAC2jAKhfw3NfYBaEV4
ip6eKaKRysuF/IJ6E/qPAGwfho5mh3pg6h6RP3ADdG7ex+BZN0lBIcTbRtUE/OONS8ppDkhA3pAz
GyNzU0HKEITgZa/xuX1f6yqoqAMwiZQMRY3NVQRlW/IUluVcgbYQaOBnQG5YxqBaUuWLSrQ7jnb7
wNb1/oxRGO4kStOvPx3krBENgcd9XuKCDD6KctlXraEh/v7LuLY6EeeBP44cdxMPDY78b9LOa0du
a+vWT0SAOdySrOpiB7VyuiFkyeJizvHp/4/ti6NiE0VoH8M2DBjQKq4w45hjlLNUmGqAMAM43jBM
UATRumhU7nOlMY4YwHY+i0yTDbQpI7wuSRtljdZnXGlBNRhMvNRJ8sjhWsFtu/HCTvBnmMLuYehl
BoaBrKxDpte7pzJUw7uo9YAX3zqf45IyfyD0sv1YV5I9MzuAGgEUkpE4F3o7f9aKWlVxt8tkoqOg
DKonRTCAnju7t1YWE7m5cLcVgHb0PkPkPMScuT1mNfJK1B7elU3RSX6oRObbhbZqfloySdPP5pjG
zrfJkef2u6C7pSGzQGPgbC6jkO7RP0l7D2GBQnhTBsobbkwnns+392LH2lA6AfELzJi3ua1KTZEa
9kuaqYGAYzxYoPh1Eykrg0gRR4e780bWqvVamnJIcl8igT/MTZI0CfTw8xLIkxi+WPHcBcjkjH6v
99W/0zx8v/1lm2LC+vBh46KCSSi6EqZsPLrdjH0BS+kSNE6iyjAS5b9Da7A/RRBNe4qY1Gc1TfOg
ynXtwC+9BH+b+7WywfBc6FYRR22WzrMoaeu6X9hPJAgfqkKPv2Z94bxnoskISjuyGfYQffQMeUz9
Vc37+twOjvmxDkv1y4gGz/PQL9Pp9n7snDTkIytyCtAr5mMTaOUT83Bxqi+kAa0BRVvX3s8K4+pp
VB4NnewvBUuATBqMPdx8v4M0xjhIJifdydoTQ0y1qxtx8VRK8dGU8+5SfBdFI9I14BnXTzkf1Dox
C7ylEDWDfGKYOh9OL/HekdLuoDe3c4G1NX+CjJS+2St8bT0TgiStvQR9SXvic0Rs92liIuqpz+wi
/6kijHPgvHZXXIGnEMeAJd+m90LK40hJiyVQxsp6D40adLzhIPuo4gywoERHcKH1DmwvLt1wpkvI
6NeRmuvdbAepsuq0mwMEGFR/UkFFDxUqHs5Q58+tFf0EPmoeVBL2TlDlTmKIiXhewQcdIaDoiwwM
cGGV76Pelr1WqyGSGbP4/3Op1f38YYG6UgvLaLDnYFHtJIY5dx7f5WmD2pOUyQyI3n5wu5vJ3AaY
bzrIr2ICPQ+Zj5nYTKcdlYcxq7K7Xs+y31CDmpdoqarPMsHJwR3d3U0arToIDeU14CWB+L0a+3KG
4LuU30ydyO66qonv1pTuIAbZM7AvtC5kmwDbt688aZulxKhNAT4rdJWorIEiMX0JF6JKUkH006PJ
4xahpR5UaY5WXp/Nn+cIz0qCwjsfSU/Zq3NLQk5q1s/yVDgXfVL6X4Now8xtzLI4WHpLAfviVsAe
kPnThFuZJa/Xro1q6Lsk5VSHpinx5F0I9CCe48EH/prYzHTEgiY6adHomYB+gxkFCQYbzdC5rxLJ
VlwZXRQBBERHdUNRIVZ0VYR1bbcxapq540L5+blHoCo73b6Qe3eDKhDBD7MIr9EuuUD1a85TGSlc
OzuPCE351YKacr7I9sHd3zNcBBQMweDtyTo3ZlkedDPTx2UJhqaezxFk8xdnmEqQ8/PyKEQ5393+
tL23tjJ3MMTIgq/axcgPaRFyaAwAIOGunvVe65/yETjeW1g9VDvIQwn9GyVtu/e3F9Z2QtaVhgVY
A66eSHkTS5oRfk6G3TcopUmtfOgt9B+NI8dJ0Fm13dytyBn7TMsvjU8or4jlTNPamJFRnoyvcKnI
xbPZNKnqAxeo0BMo9dH2K9h8Is9e0jY904cXMlXvIfmULyuf1FBAfnKWK9FE97GhLp+SepCRrJpR
aSBPdHr9exelTuX1ctr9BKm4lD7EGlCNFLC6foQ93dLdxa6niXnZwSoQqaC5U/z9DaBaa+AS8Sav
B0+npGhNabUOvJey94xKyaSHJBXjd62Sk+zc9n1cn28fxs6tWzEz/A1j9noZrt9mJddElp1EBb6U
Ifdk2nnm2mEZTtBRhorXioGix/+yJmModOPoAGyR4U1EdXjFsvDMLVgaZ8XMfZRsmjOgjOnDIDsH
F27nvtGdwlUS3VJl3eYuVmFoQxiWU4CGiU5G1qEa5Rljbh4143aelE5tmi7JCncAXXi9mbTCtXi2
8ynQkVgUj3ImwwyJOpnMQNY0oj0UiWV5TNo5+XF7R3fM1Epwy8gjH/mafHYZk5YR3GYOVOh/Ek+Y
8eyczJAW72lgNuBgKmPvzqzsHhBG2SYx3boNf/gSPZ+qGQ7AOai7pb8vCIsVX48ldfItpMHUk6mh
nHb7A3fcFy0MiJToMq5Fno1xtEsRdZqol2AcGqd46tJSbuAlSE3QbPkPU5KeYJLTJq+wuyMujtUa
bQK8dRp6Df8VRNu2+fw8W3ClkJ4G2JT6gvHPTjnTP/eNrSdBluo6jCoqxOlNIoGgGermYLf3znYd
JVzBgkDcttaSEnBOcK5gFbrinT2NecAc6z9Ll+UHDmFLVrb6aWJJKJOp/dCr2kYnqWJUYxHVnCth
kvosEoOiatxYUuH3tHotUNlLXj1pVg94vBdK8b1u6wLtp8b+LOeFlsGy4Dj/8Apq8z6G46ELMt2m
jnT7Luw8Z9wV+GTw8isEZXP9EJzoLODhSwAhUebDydeftFY9om574RbfnPs6SgwL0srhRc3o+pZL
qlLij2OKcHj97C4c8r56aGsnukc/FMXFaRgbzUtiJXmw9HJh5CQqlm/UccvF66a0/eHU2VDcyQhZ
GhfLapRfrRyqpifgfOkQUlKtzkPgRyruMqRPa+wEFBWnMJ9F7iWOk1j/mMx2hl5MXV99ID/M5ovd
IqznMxGWjm4T5xaqZ8D3OKQ4rTI36TDWj8M8J/9Muqje6XEU/VYrM+/8EI1c2S1DS+69mmF3xcuH
obnXItmK/FwyZwgVqlG912S0FL/dPq/tDPx6r0BnruDT3amDjAnseM3qSaMRZ/1JVFCN/yJiWn1R
Y8KctzKwfHLeeDDHh7qfFgQCOBjhUUibf1tNIx1h0naeFBV9nhL1OYLSLQDFVirbzGpFD7RSViX4
JJRPZPn6267A/9z++B1bSU5IvwtQPahfYzVsf9hK2WmKsYTKMYglbIvPLFSt3yPJZMF12IXh8p42
g/j7hIYyCjVIeNVZcmssoyVWY2PStcBwQHCi6d0z4TmqfTR9nQkGjrptO14PAP0Lu8Ka6W9DCAEa
XNcXRQtyrTQDDRDfHbM5hO/w6H9JI20853L17va27vgD7tOqSIAACljczbaSOlpDVwidrjaYO1dY
mdp6oEvHt7BqET3XA2WqaEkfnEWPxsvtxXcMELxWULnCGI5JdjaLj/nSlnqUmcFA2eokR3F+h17q
/PdmDhZ5GPLplKLKstUdH2PVXNK5MIO0N9CiVa3MZ+o9OchId57CClgFi0J+Q3ddvb6fSWc4oU5A
FkylnPgAtZNHxAelE+B09XR72171LbED5IAGKFyGzNi9dV//eAuI4M5ZLGlm0AyW5suMrj7qdhef
0I1ewPZYwID1vPuq94PmC8lO/EUbtINd3XmPK+KEk/sPD7z5DWZlyivPkxUYs1l+yRKje2/VSngu
7dH4MrdOdNQY3vtqyO2Z9DRo1+JV11/0x1fbbWZWjQNPMtFu8VEujPwugujOhTmpAppZSl4zO62X
jhNTIVE8emG9WP7trd/9apsonxCRH7N9Luksz5OAMzDQc0c/M/LFKom5zjiFgw/z5SHb784TcWSK
1gwCrCC4V4VrVIvNJOytQAuRnXSnzklPdaMXfmeP9cmqdEi3Ujt+D/Ah8yVbbj1IqiR/BhftDpR8
/XFQ7bvYtOvPt3di74dR93whhQHitSXdV8qRKrcsGbxdW38PPb/iwrcVHZQ8dkwiO/3/VtlYCGMl
HYnl2AzkVIlOuL3vttOpX6ZR/4Hw4nTfjp128JBfuv6beAVHQ8eazi7jAlvG4N6SCNltvGzV5L3k
VtYqp1EWU/UWPaY2crvSMUp3yUqUf4tWtOWTqMK0f1IRfNYeU4gxvnVdOV+QrwiHb3Em6dJbXS30
BEpsLWlRjByUxgWwJjESPY7pe7gRzN9tqg4m+utGNN1BUzt9pocjQSLE2LkRiIo5Xz8GsXIn0EKN
fU3ul9yjSdWNftkkSugvtjDC93Y4gUsqtbWuGCHQGPntaCaR24LkPGrh7j5I6BaIb/9Da29MnjVF
8ZRErUkpDATzOUkI3u6aGmEVlBgganRbQI2Sq6Ane1HMflbR944wToYlwiM87o75XVs7UBSh18UM
tHxtHJy4R5JazGaAlEd8SswIDu4EVSQ8t3xgA9Y7t70f2F5I9Zh6WzuG10ulRopAFoDBYIhi8Ss1
xsm186pFz62Zn3JTmaBAy+Z7WvrGQV1j782tqAaaZRgFmq+blfMaCP68mEG7DMupMCCAAC9/1Cvb
20p6oGSJ64AnraTrVcxsmdc5ByMYlyn7B9xrjmVD1zgV4tNtG7K3EpbNoU+1ovC3/r+bu0zTtBzP
7DBNlaZx+QOUs/YUd8Apbi+1Z0ioFTM7sQarNAKvP0oqwsaqKu5HPlnafWRI9UcT4ZDHmKT7EbFA
4zt8BQex1e7nkV1Rn3mBjW42EjVFLU1iNtKCYc06SQRhuRcbQ3XS5DQ5SA72FyMvkKnpESZvHqPe
wGhpIKgRxAWTwWYNYU0kKcnF6Cv94AG8Xoq0lbk7/DCyHcyYXu/lHMdGqg8YZUfNloe6maGaDY3l
Q7WAf799bK9v/JohayaPGnf76lkbepliVFUjMMZSRuIMJ59nrX2+vcqLOOj1k1ZWM6asdKt82Dby
dgYRwkmfaMEI0ZZzN9G1UN8ZkNyKh3zKC1Q8ZKd/WO/Vr0KS1Etr41YfUkqkH9vGlD86OrhCr8mT
WhlcpIBpm2vzZEl+r0AM54dtpzR+Enb258kyowJJarX4vcSx+mGoUGY4h6WpU6GcwvCnmSU08OHZ
jj6pqL3mj3aDg3eTntqj2yAYr3j2EJo/M2Qptbu4mdOfljHZqWsLyfi3EYP2s0GT4DlBRvufzunr
0iOFHZieGtRKdp3aau+EU/XWx85aKHGly1IP79spS4qHFBGAd0thoNsTDtXyy0apIr+EZQzH5DwC
CfLkuVY/juasgUGqQfl6ILsKBabMtBW+nhWj5kZVkfzMEFCDbnNOutnHlupPaYWarKfldSffq6GU
/5AUOZfd3rLbhVkmrTcP3PhOskzjHRe+EmJpVDg2DyLuZASH01QLiIKXlhPMnOgfGVHjyB3bTNGf
hkobwVGkiQqVHqSa9l2qWuNbXJbyBYEmdK5u37IXZYbNLQM4QxqpcJkZHNnU3oZuGMsCaA4hk/hg
13p7SmjSXzK0TZEut2erO/VNqLsScrFuKemOL3SR+FmjafSYEIWeqSp/PPhR6zZsfxSFctQtVlp9
HPn1Y15WDeEpK9VAz2aEwF0TsfjHuEhCi9vmRF+sBQzLZSpiXXbbAT0DL3fkBfmvMu6y+7zKJ8Sj
kZg+evlb0D3FDpI1AHaMbYLlo0J6/cNof4EznUs9mERZDoEzh8juZvNYO0+zI/c/FmThZxd1ebv0
wr6XO6+mkaW26MtL+WfUhif5IsWLiuibpWQwQqZd94P2/Pxcxcrw6/Y27tgpWNeAHIKqJvrYinIY
1ly3ktpoNMtz+UNaRPLkzZo5HxXTnNenRQEeZDHQX1bbEooPvWV0tmBKXB4L51s2RLIPrqV61ghV
cxeZo2RlhUBz+zS1mRW5dRIWygEw4LUrxbuA+jfW+ABe/s3BSLZamynqb4HBf3zgrtluLefq4Jb5
JEWnWmKaLQMWeZAK7G0xjoCuDuB4ON42y8boTFptt1D8Wgb1DLNxck/ioB480h3fBvsCcADGXBmt
3cYJCPeWkhzaekAXoI7p3bTOz96ponfwc8nJgd/Z+SQSDUJJCtIrtc/GRBHVD1PRZFpQVrkRzMzT
v1u6JDqoe++uss6ugFilN7/Nm+vRLpLUGrWAsDK6D2VncCGsqA+4B83XNxPkBmg9BlFMGLc3xq1Y
OivUxnoMijgMnd/OqJqpz1yBDhlTywN8KuhZH6y5cxN1mMqYQyM4eN0PLxj/ty3UvQKl1trvo7yi
U1qpdq2hjH1oltPHuazTg0N74bPYWEyd4IfiB/MnK+PFtWFqIcIQ8aQNwZCOTfOUqzVYOasR9E6A
MzVv2R5JDaAnRTINah163KYFh3ZktKLykvW8z2Ml6tqP8zxR/Ghqm+h5Ys7t0xgv9LlWoMaTldWF
eopSUSkfRUTI4wLGhyhZSTG4PzRRivRbhav6IXVCKS9wG9stQC41ts4jfCullxNdR+8ze8hNlxlx
rTqIzPb2/mUeipG1lWNk06KzhIO0ad11AVpM84dQggAb4j+5Bs7SqecJ1pzan5R6fH/b0O5cs7U1
B1qf/pwBcvB680VRaymChn2gTKPzNouMxTNK21oVv+13GKvu4DNXq7I9bGqU9CJBXlNGXLfhj6IT
JbCeABogeTwJ491YKO3PorSFNwpjOommW36+ENEuRVsc3LOdZ0tuiQ1Cv2h9vZtrBi8po2QNPdBe
by1Xr9XuzoD18u72fu65WVbgFa3WAXXBTTBfL3Yy1pU5BWPcp+V9B2V3ezETRQ3MaoSyKilK5INr
25YkP+srsTwYLfOoH3olpGc49FrY/WqiqszPGLpBfhsi+wruB2r/T6o8C/3g9+5cO6wlfbV1dun1
QFE2jjBYNglNPLgKaA+b1duZ0WICgU5LezduwiwoEW050pjcW3cV1CQfprYLPcb1PagSLR7sJZwD
qbSqS9Z38Tu9KSdvGFLlGTfZeiJr4s+3D2fnsr/Uxqn8QbQEkvR60WGYTE6nmgLNXiofxZbUr+3B
Pk19+TksBzu4vdzOjUNIheYs/nUlZNs86aZIZR3u4jlo2x62emtwVOHqFdyPt9fZC81XwpYVFs+8
MIbi+rsWo6YdWDljYICFRvcx0uIfEBvLoztT2g5Pk2j0QJFqBJ3aPo0/yJLQ1btBr43HiQbl/OP2
79k5W4uQBngqXoQ5xs3PmWDV1u1MboN4JMALyiy23lXc47uuV8sHeJ5b9aRkovz7QssaKfIstPVs
X/V7ljSVY1oSTBRCfn+CjVe4WRq1l4Gw4HT7E3fiRgsDht+irkPHZXOTZmcmV42rNiiXlZY/gikb
wRzHk5O4O09aFd4podydY97SWdjl8vH28julwpWDnm4StpQaxRbQkSxg22O16gIIipfQVyGGs92i
nXJoh6tcRoPZURKQStz2kxZnKLl0iRJ9kYWpHum37ER4MNKtESzzgqARNnZ1IsuGIp7JnSntZ98E
o2O6urSS9EOa1hz12HeeMBacCQbeFVC0rZsk3wW61bXMdo0liL1O9BfSrN51yiL0214uDtLeva+D
C2DlS+a0X/FvirovK81JuqCbWqf06kaz67sJudhvgy1a9UDqdMc70pQlPcNRcbW2TFk09Ku2Nxvo
l1oU/XpJcbzWUMqgTxTpbE1zdz9B5/Wuzqgh3r5RhoqNuHbMlFvWsJnPXHu0m2ME3pKEZcYAkW0Y
KU91IFT3FWNl/aeMIdMCY3TkzZLZ4wcHkfHGLXV7/gKluTT6YPhCquy2HaIRtyy27TdhJSP2boej
7Hdj1wq3Wmq0xmdnbBTfXqgInVoY+BKvjQDLwGdVTrIb60tseJEWKr9zCOV6F2qc2XKtsLI+KFUr
QdTZ5tObsFeM36mlSOJsTHQNAgg9lY9lFOa6OzRFD9Cj7T84o9UgE86gRuKFHeIRHN7cIa9ijc7g
UVZIAfMq7egbTCUGpirC8XcpzD4MGNrrLA/1Yegsmwb2Deio4nQSrpH3repFtTCP5s1fXTOSXKwl
cI51lIVW5LUFL51iUoxloTMelt1JQVj3NI6qw7U2j/QddpZiJeD1cKRYXOyNVyLHM+Mwa0mtCyNk
hmvss7u07s35lCI3cCSZ8coHQpSNNNFLiGkAj9p8WMS4hgFQVsUmK62rwVD0tHS68bcpNKtAxgmw
nh4uA7Ybj5OAXqyzOmJyQJXjp8aAmjtWc/PRmJG2H2QZ5SpU2g7c3N6n6eAEyaBJVqEMuT6zyhCh
pceyDLJAzh9avU6D0umP2rSvnCmfRrQK/zyT+UT5m+Oyky5V9cVSAiC69rNaNNojRrB9m8ID8JH+
hQz9jCAQPYgp9pYlQgAKvlZg7K3iZhflXbzEvRwoWiW/k+JEPg8ZldXBzGHzYI5BUJ9wkuEIqfja
s/GxMI5aPIYXc7Re3z8SBC4SdSpoIIO0Ni30ZmQosj14QpYvbZJ1o1uPDWpBrUzNoorR3UN+Kc/9
tGit+HRgErcWcf0lOFe4iYG5QYZ8/Uukju6/kjNZBsU6BdzUWgJVhkUbzrjqIDd5/SYZO1/rtqzE
BOV2qcLqujjXYwLwunoTxnb3JoXTx88L6Qjr8PrSrhNUlLyAVUDrY28+Smm7tmwJowIVP137EgSa
a8aXHxW19tZxIBRkBx3wTFvRc5Wufpyj2x4Y0Og8Qq1W+POg/nXrEKwErSCalLQaEOXafE00skMG
43qBiV8c/GVqkgF+4CRRz3ZSM75vdH3yzxyVgNSHtkiPHufr2gU/YCWZoUGEHXh1RyY10fvInJWg
Y5QQ8FzRRzAmpogWu6bSZZVroMAru7opqe8hPiI0UmtN/ykZkfPVMSvtp4x40dcwH5UFTn8Jgai6
Uy1vgjKHsjql7++pNqrDD1Xp2/dOk801OG90OACIZdGz5hTJj1TYxrdKjUXtZxHIPM+CJvh7YyTL
g9bCsOXGE3S6wNAhgj4wEq+CMb6eIQQcFp0kaoibKNhI7JJy8WoBo174szpNULNE4EYyY/aKtOov
f/cigW1AlL0KEhB6057e2IY2hzLSNkuHFoRoPlkoTXm6RClaykUVHCy1jYfIYDDtpBKU32g5qusF
/8MOxUuW27PWTNghlD3dFpKaN5lkTcRAqa5BY9pM3YNeztGwDpCKb2Vrjv19IrWTfOq0AZoRNNeb
8muio/vxps7k3GsY1PoxhbUT/2qMzHmUCYyQDreJJ8z7LhuN2oeKUkl9Q40M8dwKilju2FR9Ca1Q
RlQPtCuMLgUxxLdldhbTrco4I9/IZLvz1IrGgy+1ZtZ6EtD1BI6lLG3RbGpqVMQmefpiSMCwPQtZ
gN7tctuO0Koeq+LtOI4toVQ3zG/0MO8BGsz4lAtaOLH2tkZSGncaDSkCyKmhV4FqpXEE7XXXmpfM
FHN0kuwusT/dPoGtB+IA8AMrGgpCV8rHm8hBLq1M4h1QKbIrm+xV7sWdFoZ99oCAnD1cmrxSvzql
mKKjYa9XPoil0bDB9xFOMA71km//cfYmU066JJkDdYImSj1bVDEUzGMZfZfLFJiiiBkPvDchssoD
pZOUz7zOZnbzbLGWvyzJrj8F77sCglCkBhp6fQ2tPhm7pCsGaggrIooo3U2UxPzp6MngIcWKDDmq
Mgfh1KuCAquC/aBysXLIAxDbPDRA2KlaVjCijG3INpiZ6TwreTYggJ4x8+wlOkAVV8zo7T3lE5VY
t47qzvSlpGrFCYJHuP5u34ath1ypPFZ/ggI4QRD/vt4HUcRJPKbUi1Zqzueol5LAlkfNX+r2iN13
67pYit1eLwBAHOqEm4uXYRiY1hgZDZ375KJ3eXZfmV16d/uD9lZZi1/g7yhGUY66/qB8JZOW1IGp
/6zPfYGO453SZLp3e5Wdq7xCQWm8QBJskNdtPsawMoowKSY6Bgzn5Ukv38OK2Z6suld8Nc3FRyrv
bhnXD45Uo2BZFEeg1NfvmF+wQvzo0K590U0AW44tUGp9loN+ROwhbtv4UltdfI6t0ApSrZm90owW
/+C71z/1z3R2PURKmrxgWtUQym8iA21oRZmNjC2vHJEC1QWrFJ40DbU498XEbFmV1vqjBEjQU9S5
Bdyny/VD2cCt5JKcx/fCiiRkHa1ROiJUeWnovfptK9kQngzo5fYuw2uSMC7YLUGmZOpDmYxm7nL5
63+sxVmovKZDPt2JapkSvzX0tR1oOEsRyEPDqKE8hVHhSRoTLe7MWETstlaLWl/TEV14UqeKyTWl
ymw8rSMv8UIxml80rTUnt6lARTIxUbdvzdbsJ09ORfktzpu28qaqHiI31/P8x8jrf55yAeIxXMMX
t+nqvHDlSB5/D2Ec56iwo5fuGl0UDW42aOKtnkf5N7nv6CjfPsdtQWQ9RjrXVJc4JvoFmwhDN6sw
drqWwX9DCd/IRmE9Qvk2JZ6+pM4vkDn977oPwRNaZWN+vL32jhUEqk5payVwNlf9jusnikCS2vJ+
loABzLg8WbNK2SEy4HbQU7RNXQOWyuc66RFnbTGOhb8GDV+ybsoTX9G75giutr7Vzb2Bjg7sE2A1
7MY2y5WUEjWarpPhOSjL+FxHqLKguGpmJ0WbGbnoqHtQqwDOm/vzykbo9lyig6x3xxAzL0/AjfFa
O7sbQzzpEqKnUD0EFTjJIGzhPpcR+aKmHFUHJnLHckCqSPy1lsQ4is1SehuGBPfLFED94DzXXZqf
5ryuvDGq5PsCy48sVvK/MK5C0EVID48VmdLGXIUD19EUioGugdp7cplnruKf5ELIMNoYh6iMtR30
x5lSbAPZ+Mdyq5v4I9QQRQUeN4rMSzUMyo+w07VfkHQO+bkvm9H08kZPL0klyo/ZmOnVPbn6oJ+c
cKmPBCE35/ryQ+CFgcZ0nel6NXpS6uoMBn0wL9KYdF8doTCJqNbRc2oU4nT7YW1c38tSmD+cH6hI
up2bLYbzUZgF8JwLeGcGlVp58SOB2vHtVTbJycsqSPwQOnKUFobkemcRUB9jm8LBRYjZCkRrq76G
TCsCB2XxttYHcQAL2NzWdb11jojQCXdLG2JzWwEEVV0FnP5iDUv/EA7COTVLLr1hByZvMowC5er2
f6B0RfQO3DxDnXTQX9z/H9dHBegZ2RKLal0WumlRqf44SsZF7Y34ICjc2U/Kkys/F307ku7tTRXL
0KW14NTiyvGw1rE/wC53J+w2JQUqO//2+e1cyKv1NvuZgchOhiSxLpEZxx4AQvWNVbYT3OB18nd5
5cvRcWqMGK4jdUzuXV+VarKyHqVt85JXSe5GiF0/j8CAPpVmePBRe5uIRyO6JB5awTfXKzk44nXK
LQrGMh7cMGbmoGnt7mEZ7cRLgIEcmNCNy3j5snVk26GBwaLbGc0hziVtgeMp0BrLygL4DYpPSaEo
pZeW2vjdNicnO9FatCMXgT/1oUuHJLh9jjuvfR2L50LQHMK2rO/mjyvaiUmGedeOgr5qlZNRQfsO
Fqo+eO2bQOHlQ2mDMURCOQZQ8ua2GGoWZ3WtRdALd9WjVonhybQX68lqTPMxCpkx8NmhLnKtzone
3/7CLY/Ef4ujzrYOcYOh2CZpAD+jXJoKEQirdGqSdRTX0YFikOOxb0fExZW6hDxzqhhBcw1C0/De
yAY0zgYpr0of2ib9rplMfTmbQ9as6IDE6u9GybapBdhVE3kLiDvVs0a91r/e/vF7G0flauWkWf/Z
9o77tNG0ynCQRKTdKFxLlaxz2AvxlsCnu3cYC3LttJWJfnL7dHvpvRe+ZkBAnh0mkLY3g5A8zOxu
ki4gV0ff6Rf1LsyNyacXNB5cwr13AMiBJwc9zapqfX0JLR4dg8BLHBS9SJ27elaHxUubKuu+m6Gm
frcHTfk2ARFN3Fjo9mPKjK1z0Nzb+1wa0+rK5A7gZgu10TKna0DaiMBWpvjk2E14mqHhaWdxlP3s
uCLYd+hIMAewMlOuu/HHk0vSJJL1OUZSE2AycKU4Whwv7qVm8UROT9UdTKcbT3E99snBO9wxcFQE
4Xyj/45O09bgqCMwCJIv6aKhXNM/gWNNmCgbyAL9kv/3vgX7Ux94pp2N1TGqmFPK9WtX+PpzJ8ox
lZOk0gV19E9Z3RWf5Cz/lHf2cHCCe/vKbhIAkolYry5sZhm0ZNUyvGRZQztQliCpWjJtuK9HayCF
RFSwOE1WmR+x8e99IaWPFVEBnuIVkmSWla6nQIjsXNYJ2wf8XcgugJ5Ec62pWQ563jsmQafyQSca
t4FZ2Oyn1UsZrgShuWaq1OjO6SwhXHse7O5SJjRL70rM/b+MtkYfCilq54MrtLs8WjakvGQZ1P+u
jzOVBsFztcMLoZb0SWFUuPQjqwXF3xJmTI+9rRvlRbeTsgnqBXKyz7fN0o6t+G+uhVkZsLHbz2cu
u1TmJhFBkg/W8Ksfkk7cl9w/GgzqOIKNs62k8FIr7YXbR0ZTuYrTVkc0r3tnzu7TzGQAa615X28D
Erj1DN8lj3hqo4fM7hPXziBD7awoP3hAW4KF1YHRW8T+EzBzs7fcZGVhZ+kiWdKlqU0penIq5u/P
jAOIwh1gSgtKCxRE7PYS+fBZmHLefnFy5nE8WY0y68xQc5PcWVMR3RuTJPUPoyTNb6YeZaeDq7m7
KWu+RD/OeJ2lGPlYMbkeSeioj71BfptG3yUIA3QPnujyCB2+Z8y4hHQbMaa0XjdeI09DNQ1TpIlF
wbi6ZNSl4eq2oE0faVX0I+b9HHE47kRLeMSVmpbck+7ZJloiPesmNZLjQJ+V/NxW8NIuo3nUBXwp
um3STgIVYL4OUq8r/v36cqX2Ek+lbRCxNJ3If9VRqsQPQE3m2G3UJZ3cWFMj537uACbc9bK1SEHZ
jwZUh8i2JkGkalnypdYZp3DnRmvGh7AY+jdijM3Oo/tRGd68JIwmFjFzivdqYlXN+xiefvNfiSis
c8e8mohqKlpzBzdkW7VZ7/LLo4HGzKEht32+o65MKUSScSA5meYEirlQqpFoNahuPc9O9NQnctV4
auhEstcvLTucG3qrnjVNyt5UTpr/vTQ5uS5pIWvg/ED5X2+2qUgtpWozDhSQLEFcmxXgRoR8b5ut
nadBXEO3hCkd6BW2+W5dq/bQmHYc5JaR3MuEw2/TbqnuLMAx324vtXdJCdyoX6JYwl+bd7HkSRM3
C1usRkzXTolaecCltYOS/463Xf9snvk6hUr+fL1tmVynMnolcdD1cBdK1jqDOzbICJaV2fqVrnZP
MJseFZ32v41NXEfx1FcaMNkywBDb8QDVSIlyF8IpKfHL2s4O9nDHyxlAvFYmSA4N3aTrrwtHu6Xu
nSVBGglSIr4ReZKYIYoKLYQCOJUT2nH1Br2f4ZOe18nfS6GT7/CBBjwy9Hi2hiaql+r/ODuvJblx
pG1fESPozSnLNtVqtbw0JwyNRqI3oCeu/n/Y38GvZjGKod2dnYOdCaEAAolE5msmE2QXgabhWebp
JuJ7oA/KRg2vZdfF1/t7ZiOWLtCihegIzIGix+v5jnEb1fCm4ofC6tKzxBD8asragIQdz1/VKd0T
E90YDzolPEd0UiGErCNcx3vfA3MWPRRZW59Q7bN8RHzLSwhq5KpSNd2JOxvHz14uUJQkFoPQtUaR
Y4xRjmlR9DAPDU6Q9P7PM6H8POthvNMT3B6KGxD0EXXKm+MHS3yMRRY9tHbiYZFr62+EWmsP9Zg0
D/e/2uZQtMHZqpRDb14StCA0uGy8DodRLQ8yxZIkFJEbKEU/7sxq47jbyMviEgcJin7v6uaTlVaM
Q5/FD3K25vLN0IZGAw+2sIxjLWRXAHNK0/CbVXQy/np/li96uavrEF00ulPLW5Tcd7U5NSsTukXb
EjgvqnwXNLqj3p9cr/qvjTuIqfCwqnMvRWgcscub80OH6619duwkzg922vczHZna/Dq0UKGOou+d
x97m/zjZVpo8RcBk4p0kdevDIL0Fm5dDtSAHXx+nbLJthK4H7zoKKwIyGXlXqkB5wMtH2blY1j3E
5UaltonANjg+mojrra2YGCFi5wYLjZbbU9IIk0S4GlFwi+DFiDg+jUU7nQS9oaNoYvUguqQ/3v9E
G+FyyVGBwMHeoLyz2h0tDOEmVZvFca0eflfVNATtNJnH0JXmYTaT8YNrFb9C5BN39sbGfUBCQX0C
7CJPvjXSW8ZWlSQTVm8ZJi/XEBLiswNVZm+NV3CT/1tj5C6ptdF4uKlfTXPdG5NqeLivYtHhA3Y1
w+OcdH181guj+e7pc/q1K5Thq9UN/AtmGpe8NaFyVmdFLhBaGoJefL6/6htBlKIdfgzgm5Y3wupc
0J9sYzz7cMlG1vJt4kTyt+1FEj3fGUQvDNJv98fb+MrgX1loFgD43xr/HI9ORCsIl6uxoe/i2b8d
LXkXN/ZbEdlfG834UZUYVd4fc9k5q7OPxhDxhs4Hvdh1mtGOoIebbMJ6PDKq7y06ZwfgNHDFJocy
raz/UzPb3Il1G6eXo8vDgoPLZNcFZ9so4o7U17sWXvqdSlNHA7HEZa6Rzc65Wb7QenbYaSx/cXx5
VLyOE3Zj2RXqAljaJUgMLP3hDjCTndaTD3jUdP3K7nA5qGJN/Bs1kv6hVzTK8/0l3poutbcF4AgG
4CZYVU2uDImgoKDVil74TqbaT61joeI52B2E+v9hNO4RSF7UnG8SYaud5GCaFEtgYOUHzaqiLyCC
00NiDOJ/mdgfQy3B449C25AoQzQVwwJrSMuL6JXvRp2O51nLxv/hJFLQoQ+uQbMAb/d6pGLkgYFu
UXjtIQU/1HqsPsqG4ODOVXdwp3aPF7b5yci52ZtbpMzaMCim5SK8Iq3RJlCRZ7U/6W1X/DI0CTD9
/ifbOoO8jXix0Ri57Z0lpSrUtrO9a2pbiyLQlBTpE7gwKzvq81xTYEl1UBzw9ZI9M7qtiZKGY8lE
kF/aka8X1jMme4xnhePvpsNJZUGeygqsnVGZ4nR/lltDUcGjrbygJW+NZ6bEnt0YEIyoInlGj4hj
b0bqVeshbf39UMDGubdNpLUINK9nhd6iWk9oOVwzpNefC1WLOHuzcxhkLaKdj7cVYkicaAsu7dab
THt0vDKTKo1BxLOcZ6FEIKdCU31vGjk2I1o3tm95ZrUPytCO30daM3vv661bA3o58CZn0U1c95Mj
M1MkZA0ehnEYYg4jwrI/S8omv9Q8Cn8L5DraYzTmxleyhXxPtmnrq4JOXBg7zP2mXOnRw6Pt4DlX
p5iLd11hT+fabW1/gUbv5CKbQ7lAhkhGgMGtm1xQs+PEouF7rfohPDepIY9iSLJAbfX/wZ3doXUO
HN3i7zelL0OfeVspDNV6rnysbWM4dNjbHmKRTiCUmr0Nu7GJWLzFRhOY2G1zJLLSsk9gDl0X3+8W
11dLfhb4FzdUoqro+2xl3F5NqVs/eURUway3ya/7R2Yj0QOUwJVMlF0YCKsjM0cdajAVlqF6bTmH
pu3y41A4e9iHjU8IhJk+JQgLcGnrdpvhwqXVY4zae6j25/H/xOP16ZI2mb1zLl9S09XdT9oOHQbQ
kI55weqNEBcugrC9510H1MOHqzUmmVH6Hb2Nf0Wcj95Xrc5DFxZynze/IqWzHuVkJk9aHRr1F2nW
tIjMoXbGp9EYlek8dmLOvyjjgH9d1s2OdlCGKireFlpcfKxq+i5+2jTyyR7aXjnMCKTLx6HW1I80
gLvmpKCm0V/kHM7/eWk9YKoUtrpx1sdZIOsztuVhnLs4gS6qRdZSdtbmYwODKQ7mMfQbL/e+ac44
T++tckKWUDcSU7uWSZt/1GQb2X6r4St61GHp/W5NBMP8rG7r7pAWpa5eZ3w0fyiV0MNjE/VsJVe0
8Qc7c+fJr+3MLB/ybhADfQazTnD79Zr6oPZph/WoSpvspBW1JX2AyOZT6s1p9rUCqaOe7u/AjWwb
XRYe25wCNuD6eM/NgHzNcuaoaimHcUzrB8VINb8oLTRu9NL++0SJ8Ragk6EtyPrV/khIQUNrNPGF
H1XnfeVpRdDVWK4idL5ztrZ2PTEQ2BqKq5Abl3/+R57UDUoicFKKHmLLzKqz05dRBIkoQmNBT1I0
J+8v5EY6wc1Hfk1BZoPnPQvADrydlWsPMOjM9Rh9ggnW+kjW28fUNM0jleNxZ9DNOfKnLpql1HvX
J1vYjWjB4NKFHKAg8/HCJx363rs+D7vT/fltBUvYYMjVAIykUbf6cK0zmfPYNvQlAKwMdIT0iKKF
1SS23yh4Vx6NHKGfQ5KrZqCjcTMd0tgxxPX+r9iaMLijpeUKUPzm3g9xtJntiWphHY/RZ3yyS1CZ
KG4XCpK394d6ycLWoWyBV1F+WJrK6yu+SBqkKNKOBhWJ4Pyx98rqH/qhTu3XeWLG5zyX43zu9bDM
38hESR+jjgYaKl+Z/S2D5PFU5LXXPRi5hWa4g/cX3VsLRNMVj1gzfZ9EtlcekslC/ViJ++azyMsM
+48W0StwrplSHEp6Iz/AbqRfSFVL5azzbA4Kz8FZFkGY8g02k8keEn1jhcGzICMMqxHphfXjbaIm
p2i2rlw9tfiM9JZ3gcVj+Lk6GTvfcuPyA1KKTA3VxMWEffW86IZU90IHKEafdfkprAtib1XvOdBt
VZIoNdNqpDFDNFj3KKq6Nr2mMPmMiTk9CnQ1kbSpQn/wNJY4LU3z33qw09NkZ9/GIUYvqNd+3d9K
G0GWn0AVCbLNwt1aXfNaTyGz9BSOaWUkV8XM8hH4ey1PAIW0M8TGaAc0sPkRKSEtl71JBW3553/E
vlba2Zi3s3KFNjTgoDPkB3RmkkuvcPfen9vmVyQHJuy91MlWcUHIyUit3lCuFlqp1wRqznX0GmsH
6Lg1Cg/rBdC1cCTWRaEEAz08JkPl2kbmfMA5KDvpHe7d9+eyuVcWkBw6DpTUSWBer1vlKok7zRTw
VaQmHzwRwXyaDPPdYFP5trxJ/qZnraI1AJERaWhLxkcQYPb7+z9j4yqBfYNOCX9RT1iX/yZvLLpc
SSjrQwC/zrPNGwq9lBOpqaR6M/UX2obpznfcGnTBKgE/AACNLtLrqQs6UwXq4HS54whGvaqEgYGd
9ds8zsR1iErxQYcnuFNh2LhUFomhhfCG/cmNeW/TisSepgogWJzUX7Q4Nk5RJwApSiM5TkpTvJlS
1zzEEzenVnbZTojfOpe8wpH25IFzW7VRk1mvI0twLmlyvi27ujxqXv0rdKk08uyfdpb4dhNT1wDc
AbUP9P5N+yvVOq3W9Ta8xtLRPznGjDGjV847Z//mZcqrFKVmGjVUFvhr+RV/nP1ZF53o6Gpcvbp1
3zdDU7/rPb099nkPJ7CARijHGlAi+KW/fmgwNCLEvEqpLy54pddDF70Xpigh9ddpiHvVl3Ys/mlD
Cb8E25lQ/+vTSiigpAFc36BdS1vi9XDR7Jpy1tPxChqDTYNsBmoNEBRk9G5wJmEf0adx3IMsa0QG
BQ8P3c/1sSSntiycQe8f2o1l54EM12g5PSRKq/OTph1i6mk5MPfSQ78C4H5xiliNr6no3W+uKnrz
HLWGg0BObPGY+OvhF9V6LhjSI27TVRjuZWwMIx3+K2mLcag6Ckt+J+3WL7NkeGxLUJ11njuB3hdf
/35kODzLy5K7/KZZ4fVuRZGlGbkAwuaQuXX+Ri1NMflmUY4XTUbum6YR/RFodfhwf+i1GudCk2cP
2CTctIhIV1Y7IHQhKELaHa+pdIYgazoTgc0y1I/6EMvLpLXKY532xndv7jG5FUl7TlUj9IWNYCk9
zMZvUVT42YeltxPYbqIpP2y5DhcqJ+AtY4k8fxzCyijR8k714dqPiv3FLW3PL2vpXOAg4A7uxcZn
FOLGz/eX4yacUXxDGIKCAiNSgVvtgRpwDbRIvb/Wea2qJ2PK82vrxMm70auU5mwkhhnvnMGbkLbU
+/AKXDo2KrfVetePGQcwqoerV/LutfQEZg5l8NP9iW2OAnYIiTouixuoWIcGeRmGLfzbprf+ra2s
xuBUNf6HUXijcQuBF1h6JK+/mTBx4USnl1FG17q02M2daUDudQq25kLD3oFMpWGVuYa9tTNs5nkY
B0ieynyomzk+jg4ui/dX7BaRxIcBlgMGiLuAXH6VydSCSoUdFgwzOu4FDayoOZahrT2nkbAQVgQc
76GhW1pPMqmqZ1H0lXsUtKziw1zn7t7Vd7M1YW+AIzFxugPjQgb3em0rp4trRxPyGit9pvtGSdXF
7xDqjH3bq7Cdmci7/ru/BjcrvYxJeW2RSQHzclOPrqt4aAGAXRXS0+fe7Nqnog7HnV2zOTOXSj7o
HUiD62TNrRLLGhARIoWJ5KEyvf6a4kz3gfatfsHK0Ut2jtzNRUM/nKNGX40kbTGNe72U0dSBj9es
+SpzMz15wNkeHfy2Pk54CPmTFjkXzJrENeqS6G87iMvI9BL4L3cMteTXI9sJzSBQIEjyKqI+m4WB
ft5ML8H2ELDcmeXyZ716fC9jcZ/x9aDi3cCeXaNxna5W5BVos3lqQm9+7Bo7/jg2+KLujHWb9jOY
ZhEzF+IuGcwqWk90CJ3O1uV1zBXxFfGL+A35qJuci7EZPGi6baL5XWt1P8fIM5/cwZvepSkVwZ0c
4nbHLg3apWsK+nbxg3+9wG7U1UOUkuTrQi+fIWt0Z5Bg3d4Tf2uYhWyI3yR/h7nyepih6CpE+9iy
bLAw9TE5a90DolXT3tt7b6DV7ZBpeqGI3JBXrVDMN2kziFOR5X+NuqK59cd01mTvRRPTsLFUuCK/
2vpxOcj3tZn+DHU5HIWmTzuZ1s3VvgxnUAOD84MAy9qKqJE5VUVHlVd7tuWpKiw0B01zuoypFH45
oOs8FhSF/zaWvR50tZJlOSPVZQ7y6lqTdpHtXASRGPWd/Xd76FA1p+DF/xb2vroKLZnO69qWnINQ
n+bnWJ/FCdZ1dY2gOuwMdbs1SNhfJGxwdFj0Nl7vQUVJ4641B+NaKhmq8zEIHrNv96hvtxNaRlmO
NBXnWzeupWIJ5lAY1y6NxUGf8/EwGlP9Mempvt//Qrf3AIAVNgYMAqCjN0/Z1NTzMEtU4zpLqfpu
mKmnWbbuCaWo5DiCxv16f7zbbYj+EPB5beFMAIzVXy9gx+7O7T42KQjkwwXFcvFPVaXyWET1Yp6C
UL7wgbKqO4WYrRVd+gQoXfP1qC+9HraCIuzERWReAXLGR5B6wyHXaJZXirEntLS1otRiFjgFywoE
6/VQJS85oZapeRV5Jh7irs8+R8KWjzLV51/eTMl25x5YDtHrOwesGUkTtwE3D8IRrwfEZkZL6hj2
56gnzY88yRwRyNSCkGDAftdJb1vFuuRNgSgNlf6H0tSrn/e/6sbyLv1csiTSCTLd1U0U6tga1Enp
XGW4qEh7DlorWaidXDfdUw3eOIFUt0H8M+WNxi5qO3SposK+ysqIL5Di7KNkbU73J7TxEaHGcCgW
q61bEhwUUKsYCKNkK8KhNWcV57G2+iPE0foy5pOylx6tpkUnlovNdWxyTJA/FEBef0QHFEBJhyl/
oLLiPlphQZ5pxnvvu41RoEBzs4AgAWC83ip50xve3OY5fJ2sfMKuqDnKyt0jea7O+DIXBDJJXWm4
bFiaOMj7ZTXQzwdTK3sftxDt1Mv8X2fQZO2bs0EmFIGE+Ltj8DIqgBgedbTO6OOuqjh912mwLJr8
YbSS8lNKEysYQiNN/bFMK8+vMrHQiPsE1LhmRcZz5tJP+19+wyKpu0j4k2murwfDnCcu1fxhmFX3
g2WQcE2h4yD5E6YHO5HNW0XxhI+zYvEtN5v68/1du7XwvHVo5/GY5r25Gr7Oaf0iJFs90GbWDs08
Gt9DxxY++RmiV4pevoUcRtT761FR5QHPAgCKqsWasyHHBr3XWVQPErLZ+6hT9Yuwp/YLgl3u27TO
fiVgML7dH3NjI7O/6Ng7NLluqzdaVeadbIbywauE8U5UKO/Hippf74+yiqzLlgJ+wAWsU6sBcb+q
0wyUJSbkI8oHDU/Ef1yRptlpFGNWX8lsGkxXsYut/CHFe9HPsGZrTnUbNslOXX0VXF9+Bb8AKC8K
Peyt1cYeO9frNSuvHpZiwrfQHH7O5Wz5StLrn+7Pd2tVX0CHZIgE8vUtGWu1xMi9qB5EGHZnD4n7
szSmPTmnzfkQ416uCkrLq/sqbhM0thtUetqUpyctSARyDTxfulb5S7jTy9JhjrE4amD1qa8PRGtZ
VVrGonhwUKP7Mho5jNBe4ey+tZVpyYD1arAfojRO6yOFSKvYORrresZirsGXA2jFc5CUZy1xD+Oi
KuiMZgGiqtVDNFR0R8uheNRkaX+ttar+VsJXRadMKa45rdZjnwm4OlMV7Wzl7V8CVJjYyA+5sSKN
vSmv00bLAiXPrOZAnEoekZvFVKezcy9ow6h7arTGPM+VNb/DJUJ9Gzdz4vqW7IydHb26XV9WhRhp
g2Ja+EprFy8vjm1ZVmMaNFn8Mx882oo6wnmloPaA9eAexmG9rZePANrgRX8cDZW1q9xiYVENlp0G
g5bKD5YjsncxCsg7D6z1tmYUslrI3JR1eQevRymSEMeN2YgC107GU2u4P2cYEWdPzPUOf2Z56P6R
8C3LBy4KvrpKorBwhF7nCuoQuhOG5lGQ0Hj+YcYVngQFHqVPCF55td+SIQ2+IeLx1LuTrVzuB4mt
0Zc2I3gpysTu2gcowp+qzYEuBorizr6ijUmQirY6a/C8ryiF2ZfGLuhzIiq2c5q2VhiyJ0GfMied
9+WX/VGd7qNImxF3jINYzeZT6mAxGjthdqmabk8sZh35lyXGOJTiLS0CylaryJ8gc6Im7RgFmWy7
QFW7BuO1ojgUbTR9IvMv/bIy54sTj4b0gcntvdY3TghJPWU5aMaUAdeWvmGbjjRk+MTzkJ2i2pZn
2cHeqLoWA06xV7Va5w0vm+mFTbDUVYy1TY/jyCqKtSZ8KFMvug6KNTy6TjwfGrWZj9kEKCce1Wjv
slneXKttzKfEHRnFUDLFl/LWH5+zJWRXUb4QMKESTScZOVPt2xJvxJMUlYBPneTxGOBkiCDIXI72
B5x+Y+cQWnaIdbtTa181LRIny3XH3ypdJIFKX47sTSMK5TGrQ/xvcGoV8HSRxHYug5yi94k2deYp
07v6TYi7CH7quB6l565pq2+4amjzBQ3XLPdpXHc/0jxGBM/SmubLZMjE5KO7E+qtuZe4NF/tOTkW
WlQ9l33V0ilqOy//Wcapd07yMZZI7vdmdJ2AMGtfdb2bP8Hng57518eR6qazAGqhJ4JIeX0oMvSI
kfpJYmRSQnEpkLw7Qw0bjrlSp7/SutSOc4gsFWp06s6VsrFrXmqdkO5J+G9c0uJQExijz3GgI7oV
NFrtnNAy7t97sZsfpiFqDnlLOeH+dDcOJiVGnmVIPCyIrtVLE3FYQ/YeKgNFH9UnT+b4LiVd+VVA
sz4jKldjW1sOB2yfihOtkP77/eE3rhJa0y9IX84nbdzXq105A8C4PkoCQ9bmQ5s4yVnN5Z651NYo
UBfgZi+UNeLQ61EwtptdbDOSAIotfnwOghLHKi+nnZb79jDk7UDB6USufTvTVnI9xEMSWKMsC7+Y
o+JHGVd7dduNWAZfgYBNQKOXss6io8mMZnZ+EtSxZ72tXVwuk9bQodZ4Fkonci/p25wWL2nUzGiJ
sUler54xjl3olWoSlJ1SBylQ7I8TdnU75257lAVLj64z+3H1jeyEckDEVR+4DZYHx2hWsWPI8kTf
GWfj0kN3gNcH992ihqO/ng3qkYCGdTcOjNEE/jCgbDgcKqet3oA0Lva0Y7dmxUh0nWgn8HZfjRZX
UGcK8L5BXsLtbzCXDuIm7naqcRspBIqIiCkQuBBYX99udtf3tfDKJDAjQ3niODnHNOmnR4l8Ehqd
k3MkopQHTZv2uJFbqwmgfOkhwMCgbfp6NTFurAs18+JAk010nXHmPKRS6d87qfx2P1Jsj+Qt9fZl
769LYmPsGlNDETWI7Hr4Xlkgd9Hdbz9NdbJHy9s6YItbOHASkII33sypNxhuAtUXudqqOpaNF3R6
Dtm2lF+6uPt6f16bgy0GkNSL2fbrXMGrENEzMqDmYx91bz0rif2iV91zPWf6aWItHu6Pt7Ejl2kB
UkGSDR73akcmkgr1aFRxgAn9fCaRmPHHaOzj/VE2vhajkM+SuzkYpK72BX6i4zRrUxz0eiLfTS1M
aruYu0WTTOwMtbH5bchiZJacsNtky1bjLnPcPg7MIvfMAGetPD3asm+u4Pg8y69wTb80bNIvnpD2
TsjfmidKDfTWUYbmXbq6v0qj0mIcEeNgGvMmO4ZjoX0MUxDYR5W+yfn+om69OVGxAzGwqCACGlhF
YgVKUWkLuwxyqp8nbTbCY6ZOuZ86nXIeHB0yoOZ94qGI8axVegfMeuKj22c7R3Fjy1KLX2xvuX4A
Cq5+xpAnIsTtoAhy8AQPZR13B7ztw7NVeCRpQ7qXo2x8YeSw6XPj84RwzHraOj6epkicMqBpozZH
x03ib+oE1PvoaOFM5pLY79osTrABcPT/7q/5xnFBrAIdEGexxuFHvA5wwh25zEOzCNrC7Vo+cGg9
Ryo9af/+OBvJHzhd8j56OIBb1maleiHxCaotPu2IGHI6DlmAy69zKvFR8EXcqKBd2+J6f9DNyYEQ
Ak+L+eXNwzdK0WpOGq0MTJwC3xRmUzw0Yyp2ntdbU+NNYvPlaN/c3BE0zM06U+YyKOvW+tkOUr+G
mpN99+rKoNoX1W567HGdvvz95KjNUDzgbb1c+K+/HJKQdeeFcRlgvtGfssZBlkfo404DcyMAUKtE
M2mBWLr6jZZKj3OpE+ZVoBp1pfphExnfm7SthkNSRbst+42TgPQzJ4+WPC2x9UUvOjK0QQk5CaEN
wsR1IDgi6DR8az0thl1gyNk89KmCV7mfzFNl7azpC35w9cbkB4BaoivMg2Ht5GyGMGfS2s0DRU5h
cZS9mWEx0oTNjzb2EKMuhVXL60DYQM8xi4r/jKYqvsi4nf4VnY7QqBN3keYj1DXvwTc2vgQ3NkcI
CAc8n/XFpre6m0Fg5qdFiEWpEfpYjpGbV14+6s4ybARAUhC4IC9RCbjI660FzyWzqYHl5HKiPlqy
Gh673uv9qJX1iVRwLwhtLjuRliBEgX4xIlkNaOU4f3VDHgCt7Z5aqMrP5P7CPecOns3nZFIVeWiV
KVOPbY3UVWDkdvPRrgU8XzT1UqT+i8y42l3s7el5bS07r52lHAjalybN6qfBwKm0iR2BPl/xU0nm
6JArkU2ktMydNHdrKJpgXAA41JFZrC5bRXfziXwDTwQj+Y0dsffoNv1wNig+fL4fOzZHQo6XjjOy
qpyg15OaxtQOE93Kg2zOquOsJkjd21rmFzpE5vtDrVFHS/URtiuKa4j3kJStU6VUGaw5TgQEuDxM
/xnLRr7vxlyG/ph5GSbknnmB34X1r5kW1c/arazT2FG+2bmAbqdM64A0BqN2rjq6I6+nnGql4qWV
UQTC0EbzUCb0GY9aihuMb8x6I0/3p701HMimxYNgEaGyV/dqlfWDq8YYfztL2Kywcfwy2/YPWcZ/
yS9ifT3mtXBrFy+Tm+L4wK1ehnOWBnpEbdFSQ/kg0LLcmc/tJccoCPnQrKfJfRMYKZOPxuBCiJ5z
u/3MPlGvJHHZT0NBMM3H/LI/DWpJcn9/GW8jEY2lRZ4TMgz/WcfjjDs7hRadBI2084+hl+gBphft
kz2bIroMRqLp5/sjLuf59Q3AiDxmF7t4WqPrjBezg5cOTRKMSWSh+N0VRwVM506E3VpOdsViTf+i
HbLaHkZFsGsRqg5akUfXBglj9Pd79ynpXePMU6D7iAjknonrxlEEnYBg9MvDj7+tzgBW4OgQImUT
QAzV/Szk6Emvjw8UCuePTdOmv3GNrh+0vsnPo6JGfj22COL8/QIT5cCxL92cG3U2eL4ja0Izh0p6
cQljL3xD8rJXBrmt+6EUhhoalSpUPm/CNjL/s+bFfRrU6GX2lzlBp0Xh8v4U6antnfVuUNVDo8f5
B9DFSX/QU695/vuJLmgs6hXsJOLO64jj5WXUFXqcBkU4oBJuKNpxVNs9F6OtE8LRRPyQ+hWAntWl
0bPI6NfqVFVduqNzMfXPWaPjtBlF/6a5nHbiwFZcI5i/tOQW6ObqOiynmZe3NcaBqhHclMYw/ARA
4kOHXfPORtk6I4gTLjYlVHCRB3m9fuBCDbafEwdZnNfH3rPyN4YV8gRLHOh3Pqom0VWWc//l/mfT
lrO3jgBkPmCdl2zk5s3bz0o9qhUP7sgSU3hA10I/TFOoPkZO0fy2irZBiBMNUTzOs9nzeSua4Ung
zbrgChTaO2Xk/rz/m7aC0vJxTUAaZMXrF2nRs72aeYiDdkyMfyF3l8+4LOxZ7m18W65pgBmgwkBL
rN+CiqvINsamJ3CtLgycsZneevowv7UbNT7en9BLQ2y1yOxZchxQJ4soxepw8BYGGuUR2NMsyeHT
RIV4FMVYzL40RCsOJNeL+JpTZ/o55Qr9pBZVEf3bRFUMWFNvvw523b9Tu65ojp0tBuPiYta1lOig
A/kyrkwN/jKZpl9O3Vif3c6zTmUq6vai9GoN8MI1c8oJIvnWGd44H4x2oA+gTVIdfE9LKvhjCWoS
QM2VdtiJ/hufE+Qkc0RbG1TKOjKk1Uiuh8t0MFXeJ63P7bdg3JudZ+nW16QnibwxlW0azKuTGhm5
3mUddkuDO3RHmH/0BHQp3ljoDZ7vf82NGAQrCdLv8ilvX00439WzcKM0MEdVO2qdHN+NuCW9daTU
f5TqNOxEhs3xll4n+xSsxHpqg1PqisQgFmyCmn5OEvtbCZvjOlC9fDe6vbuTwm59roV9p+LsTfNj
3cRRam+oqFvmgdOokP6ENp2iVHY7o2x9L+azqAC+cP6XsPRHe1NEUmur3MkCDAnTN1pv18dK0bWD
O1T1zqP+9plNpWcp/6K2SLVs3ZIH8TXWdQjAIW6s+WfWYBXT07+/TpAnD9ifp4+OEcbPXdqMO+d+
Y5ILGwgtSmIr5fzVJKGG0lxEhi/wKANZ59SrsycEqZrveap0//z1rlyU1rk9IL5Cvl/dH3YD8zSf
eFRisZ2c40ki59Wb9IzLrAVD1IBr3XnAbWwUMGa8qui7gItaB9DMMGQ5JXURyFipDvZQGpeqkMXp
/ry21hARYsoTS+WZK+H1RrEVoLqdTIqgaU0q3HCKgyQr7AN6JHucg62hyKHwtCa/oFa+itJWrPee
oqag8LVS/hhUVE0ONOTsb0nSl//dn9bGdQ/gCtANHBWXC3811kBwNlNL5aGtj/lbbRrn5hAWrf4R
+5ik9CfoPg81Puo7sXh7WIpoML/xPlzHkn7x2a3nPg8adwJ92hNWan+Ic+sEHVuxDg0aQMGsjt6e
ed/W2tKFgcWKChRZ6mq+M6dk0MckD8apt49JqkWfSsPAKG5S9Q/3l3ZrqKXoSl0d4urN403JLH3C
Vo2roCut45DE+JA6tZmfitEA7nB/sK3gwn0D3wHsDaZqqyM+dpoxF7aeBOpo2V/bfNJ0PzVaB6vL
xnpIZW1ctbp33qZg3ve40lsTpcQMY2DRMwWX9/pomHYuZhOJuwBrF92vhClPqkjEOUncaOesb9xB
aFz8/6FWpzDHcjGqJ42usVuk5zJFb2fk9vgNpd/zTRGHf99q9WD4LIRzin8uROTXczOUVgCZz5Og
18bfKE6Gj3mb7IG1aMzxx6wSs+WiY7tQGqIWt/p8ndsjF+AAmgprFIU+FTxvZOU75qA8J32vq+dc
Jq3jh+j3d4dMDa3+EDvC5rmM0r1vGWVZHBytV+aLLVzk2OfIUt+3qPd+xUsxArU5R2njg8ifLMyK
8tZ+xgK8+Z2ZQ4YLg9t4nyJ80cqrZ2dtdjFcoUWnNi6r1lcgHAW5pind0cM/QD3E5TT+ttXSDX0U
99Vvml16+jECJfl+GMbwQzbYskVAVy/ro61PWuV7aTQ8KjDaurPwUuObW+JbeTSzPhKHEgZXccwX
OuKxtcTQ+5UqFCVQYPY/TbpR26hA94jwj8rsFQcPLf+fVsvD8kNIpY2YEdqZdtHrptWoKEnqtIPR
lYc5qTJEjUP8jf3Z6mjJS2CLk81TrWyfUiJP4YvczWuyi2r6t4gRRjuGAEFBppTR9GWKpuwzUcqR
71rPoS/lN8hmWP8VvTXNx67V4u9tKpLxoUAA5lIMsk0fFPgVOAfLVksPRqa6yM6oeWafVBgtmV+a
kW4Q1xJDOVQGIsoSvEB+rNK5/UX0mOw3ej4lqLQqSgMuaoTt/zmdeeQcpQvZ/VlWov1Yp8JGI15F
x13a49Q8Y3EX137e2PKba2XeTwxC57M32Y7q9wkCkVfkdhrnghxl0fvc/sNTn5V69nZsx2H07aiN
3CPvypH0vrCy6CiLYWgPmTdC4FNbA+nKSOXWO3lJ4eRHbe7N5lCP9qSda2pT7TVTBw2DsbxGQrnp
vORNCSuq920j876BKR7dQzeV1mfhWW3pI1ukum91ZRwDq9bG3OfuxMNV5aKZrkNc4QVeai628b6b
tAWkSLDs4qCgzdIdc/BR4kFD70ocai4L4btD1P0nTFgtfpgrtvAHg47zoRVzob6pO2l9QZAmBgCG
Et8h78u2PCFcQ29oBuUWPQ88Jlu/cG2hfCmnRrcPUY27h1K38qOR4or8XKp1Ln1yNtQOKtX7f5yd
13LcSNZunwgR8OYWKMMiKUNJlLtByIxgEgnvn/4s6L9RoXCIYM/EaCKmezoLQObObT4z9Zcxqern
fmqs1kdMzvhSVvqsLVxVu/jTKb0uA12T/V4DaeOupC6k/8ckj7xj3RsrxRgJp57Te6uTxnuAuOEn
r/LcX5La/CMSXb9xtZl2rpObkE5GQJsI4AAzSpOO3HXYwwR9cCrQ3/fo4iVBs2DtSlSojpNi/Xz5
4rppGdHhN1lEJdVH73I9hh1p66vW4Mh7u9Gzb+7oyafIaG0wR17afi370jt3oik4edP4GbxuWh5f
/gE3j8rIaVF3WJpj/LlO7MZ0bGY8oMU9YJfiaYzH6aLp4UDZVovTf1kKnUug3Vwp62FS2ud55KlC
3IdDlx9kHs0+BbV10pXQ2KFTL/fS+kIhm2N0aBG18EW5/oBJPAN2dHPmvdVQ/e6kMv3SOiZlr38g
uHPwxClpbueUUdJ7cRplVE9Gz7Gtkdf3Auhk1o8YEeZ5Z1NuXZIUvDqSe7TEARdfP5PZlsbk5RRQ
IhrqR6zch3PPgHg828ZI2ooN/Xgx+1w7Fqo27p3CrW0C45+22CLmc9PxyyvAd7SIOIVN6Z1ka9YY
VrHuJVda/F9e/15NqkUU0oCu3cBpcjtR23imj6prqQcOlhCFr9wZu6i9Ac1a5WR5lw6Ef5c3Cjnw
pq7RbcUuxmlgoJ1m6XBYGqYPU+01P2czd/9nxyb3lSpddBVkXedvhF3H7pvJLA3l0MaKm53CMUu+
qWGOsBw95unXy2/i5psvPw+5Kn3Bpizb+fqbj0qMFn7syfs4rPMg1w3ukWbGJx35ux995BiwF8cs
CMN8ePPyyjepJitTKYAuXyCkiJBcr1wgrzBEVScpQ8LxqBi5PGZl2Z8t4cyPemJNe/2Vmx22LEjF
R92HIfsNFq32uiqsYhbMlUncF5M6cqzKD1BSsp0m1d9AcxUdlqUW+QPmvos01uqtGro7gdB1mETq
c9j7+hCB2B71wYoO+DXV3Ith5RY+GQt9uazKK+qlKa2/6yItntTCcD/hLmFOh3lCVwU11nygvk+s
Jr4zvMp5lk1jD5dxKMV34ALZt0wPwS5NI4937PVCm49DZcy/8lHprKCE//et1pNey3zu11r/zJ7v
Wh/g69g/1TGduqODqH3GlA0ha5+0B+OyApTeNyTUrNGnHHCSwKGh4flchX3rR+jwRW8JW+JjPYV2
6GuTO3x5eXvcBFheIaJIwEAQAkHZQb/eHnke22Oc1/Q5eNajPYfts5Uo4rW4umUVumCMM2Hg3AQC
1Un7OcYCAxuMVifOJcqbWlZ7xkS3EDCWYT5F/KIIuZ0OJWma2RmY0vvZCZNzliFkQr6jHsYkhRpa
aSH+Trr5Lk7a5KHQrfl7jHzlu4G59eHlt3qT6yw/hDEgmd+ieLIuz+0hxBPYYO6fCHM6hplGsFca
ZtOqgY2mq7AnCY47x2ErxrAcRwFRPlqBq9PASfPmBXhCDyTK/xfBKb6kqNY6PvUl3qFmYX6HH5a+
CZFmaF4b6XngxSQDZDf4AzLg623E1sLDXi3ze7ubhodazXrwZmHrx73X70zGtuILbUc+8F9Fq/WO
TZWScm+BLokhdGlwKhFMFQzvRzG7O4nOxmeE3gq9mIk/Of0aWUIVERmTWuf3E+rF58kU5X0pHPuo
MWoIyiouHlQnzHcW3Xg+GkpoU4GbZIK0/oy1gfKW1c7yPrSr9rsBxfac1F3b+Yk+o6v68kbVNq4H
+mUwtGmHLzP65a//0zimcUYF0bNpaspGDEEt7WLXtfSLJkuOZjKpPnD99FiLzv0zMCo8lAmYO2Gr
DXpi6Ogo+Wxd6IK1x6hCiTms1D0xqI3MmnEv3SDHsVSwhqsLDDp8rI0j90liOcCndNiLBEspxhPy
C8WnxEibrzP44dMoBP3ZWcmmu5df0uY7WsakHNll4rSKkZUL3KWm1L6fdWE/qJ31PsurMegGCVMq
grX4+uWY6yyEY5jV3ppkU9oVwmgtuULpasqzWzTGQbFkdOROyI6zg3vVzoJ/X+HqHgWXAFR3sRO6
HVo2PcLamWzBrIZ2+RYcUXSUbRnXvrBE+m3y6uGEfWvpBEbuTZ/CNu0vcJ1eqeuwpHB/5V8528Aa
brAo+qggG2ECspF2kzxI2E+HfOghlCuog/yHV7x4WVHDoOuwPtgyU+fKFYO8dzO7PTpRgvUwXQ7k
ICPnoZ1r59vL622daXr7yB5izolmwCrl1+OxHAa7gw8bxc13VrLgIg+p+Wz1eGTufM6t7cr24dAx
cUIKbnVguqqco1EtxH0zy+osNDGftUqvzgUaMAGi0/F/eDiqbCTLaGmya5eH/yeEZFounHC2lsrT
Dc9zmH9A+2k8JqZtfn79a/x3pVWwAlWiRTPp0H3LkPkALEzQ96LvpoX2XsN064tRT6AQtxAirfWZ
15vGij2NknBqysIvwPG9yZrW9hPYb8//4akWzCjdUA9u3eqpJnivvRqBjkrVvMVqkMN+KFzi24B3
5Z5p2Ea+t0C2DaYGaCzfoOQFrTKVLlF638VRFwyuMT3EpbvnVLz19qB/L6m5tVH4DRjgmS1wWPzo
ZuM5xQfrOLbWfCrnZq/Fs/VAFDiUG1RWy2zwevf1mUc/qWJQ1+B4e7RoJ98D3tlDsG3kVmwEkleu
AabdazjJKDQ7HSsDHzfbyu5atYkxnJ2ai9Xb8TF2ac8mVd+cSQj3QtXWqyRDh8IBDvB2XC3tDFQB
l9p9XqT4/QzqdEcXSgTZiGD/yxtx81Vyw4ESYWB7Q11o7NGWbmxn96TXsJ2nFquv3tkDN27eNmRT
ML6oiZkPrq7TGJOksXGWkiP0umPapIjNJmr8cTLm9ERymeFd22vt0RAznbqhaw516hQ73JRb1DC3
zcJKgb7AxXeTsYYd2n8UP9m96bV6dEz10MZ6K0vNU58iRQCoxJWwghWI9n6B70R3LgopDV+ILnyk
2pbSB0rQXci595peW5uNmMMvo2dyC9au0bdDn5UhQA5c+mGwK4YYtqO8l0nxcwhH9Yc3JO33npHD
zs2xtQEIDRQP1Gm39F49dG3F8MrsflR7+43TDsmXxVfo8PI228qqgSkD3oGvhorT6vt7GFfmGGjL
ewfjul+yG6OviCNOvjZCcgdCNPreiNnj6xalCQx6eKEiLXLvHKfrMDEA2jfwGikvcyeUQ9P10yVz
y+44FKY8dFJHDmxsjZ0x3/p9Lp1n7hAIK0RBXGuX1Pafm3FIiygnwS4uQ6QaJyPsGCKNw95XW0eI
ZRVm30z3aOhhLrV6NKPsFWqYML/EWmb6IinLc2nosw94sT++/BZvKuz/Wwu1UBN+3KJ1cv1EIkPY
WlWQwmmg3Yxnow6rhtBnyPfZQCvoVOLK+BjZdT8d+pK58aPOcE051pNTDUGqenm2s5m2XjFxEcw7
vSbq/tUPGiXX2KxNPHw/5r+gsLSQO4AT7nSIN5dhmACKmOQU3fDr5+7GRlSIgRUXUTX1UzQI5xL2
rrLzMOuDv7zdZYIAWZSUA+zo9SpVkun16FU514onDD9n0GofDNml2qmNUCcwp3hU/LRX0nOhu1Lb
+bobD0mCCg6L9h036t+Q+c929QYFB/dmri/oghufFKsYoFl1e+DarT1EiEGtjj7F0v9ezdmR4R7o
Q8n6Eimm+uwpdfiurFVKyVprAop7JShpyQZ9P7enrNW8QBdj9clSpNhBMm0cHOBfVBq0pBBlWOsr
JmNX620c1RcsUvK3vW3lX9BQZSRnRK8F7fFlIVotKTKQkAUVcv1l0zKZRy21q0uH4Puxz3GWZg+9
0p+A/IQhCfI/SK6x3o2pZFEaoYKMpLioTj4UfsZO42kGr+eMoi2lnhjmNO8jxkLRa7cOK1OsLsYd
ADf4qtfPl+Xg+VNuzwtN7uiD0Xapj3d7t9PhutmgrEJzj07FQiKgz3+9SujVbe5qIsVg2en8HMEC
P5+qvbN+u0GXZVBjIb02yAzWG1RmUYJ8W5ggoVRxxieJQ6dv1dIr3/ZCDuGzHrezej8MemOcerVP
cHqUVq4ckceeheubXprql53IexMb+FEkPwuJCEkIttHq2cu80Z2Y+XxeTsbIvaWirTaZEaBXZ2TD
MZ8Pp0tZF7Pjx27q/TKQhgt9zJPV9CGMk0XlvRXCV2sNPcHRNppv2oRz72kOZfypqUuRB0okdvni
N4eM3w0H428rA6bh+pCZXZ/HfWqIi1mZ40Nq58mFXnr4VGfS27luN5daBF44AhyydfxSPBwUYNmK
CxhBcQccWQfaIZw7lDqeX/4aWysRnzlhXGouENnrjxHJgml61KYcNLhHrVG3lywcDb+LMuX48lJ/
06F/mzPLoV569KQRTHGImtdr9XUjmLam4oIQm/67MBGRB5ZieM8KdseTn7WZ/F7xDb6nsLvTextL
etfXok79hgN0nQVV3ZmGX5H2dG+ssree2gw27dHJEqdgWOLmP9UwNDW/b0bjc+H24ezrmcSKbaD5
ufc0my/ur2y1upgXro+WXpUVHIohvThDASFSH1O/Uusq6FEdf2Uy+/e9LYk9B5nW5jr5isYBiE9L
SDITzbybuyl5XOYpr6yZllW4smHXu/S+0VO9/jqoV6DD4zjpxU4995DGNd3oZNpTDNgKfEtrjoE7
oxpuz+tVGqefYTR0ycWSk3VA7sKg+YmQ88tbbWOVv0oV5HA8Czym61USzFxBr/DGBqFH78eF0m3Z
NF7/yypkOrgtAl5cXxWTYg+50UWsok71EZNecTLDwdhJ2DY2Gg105GFpZy7aG6urola8AmlcQSzI
q8mhxQf4wg9H1819sP9uurMNNqIzy0GlJiNbBDhWr07IuLfNdk4veKdMd9D3kLjRMqYEXu/NX0Yt
bo6Jmho/VKDKO19t2WGr+KCj//t/wn/YP612YBM79qI2ml4KrzYOtRFVio9O0wwi21WLN1o8Dp8R
p/H+tIpwfleq9fvl77m1Pvqr/PvvxHe9vh1aIkcGRNASlsV0Iutz67eRmnXuxfaEiN6kelU/NXhT
dUciVp0fDKRXitfWdxDvPP7FlImi+CZ1zlRK2rBqxSVWe3k2xoZATJHrfmi1NP8YixTyX2U2e/rL
G9sMJDUXM7uMj7DeZkrhDoWHYO/FHixjCkIXjrdP59NBehGPz9dfcBSRBJpFbxWE6qrSKwwHqxLw
jZeiGlTd12az/lC5VfR7NCZ7L6VbTshqX10ttirThRlWllWHyFl2Qj6A648OVtuofpM+w5n+WoTW
Xv9paXSuV2QIgEEQOeRCCbmOP13SDpVXmuJiIRfS+0iVDJ+aXOIDJMdEdX1wI3LcgUfcELYI4ADU
CREg72kOrG3gikZVjL6MBaKG1fyECkrkQ3Wc7qysNw6RnQ+nPqvEYUxt7S5apAswB6mP5I/1z2bK
X0tb+/trGGEvP4brxFx1M9k90CyRArioVsoDq313P3pu+dhFcQprXDfxUhTFa3uoy6oEStJqZhMO
+dP1i4cFJHJbKcQlbCUE6wJ3pEpV3J8vB4qtzwvVjDYtLpwWWLnrVWp9Hoe2JZGZY1c55UrYnFov
rT7WWHN8EElXH15eb+tsckY4lpwXjvpqO9kt6XnjKbxLAzFmBPmKoxV17llB9O8/LUVevszsGIGs
7md1tEeldKVgdqpbvlWNP0tTg1DpWdrOvbZxRy9DCZhLMGCR5FyFgBTUtpLhaHmBnpo/qo4y3IcI
z969/Oo2rjPaSUsWvVguk+FcfypPrZvOGSi0oNXP/bs8RInSH71kro5wN9L6YieRoR+8cKyce1Tc
4j8vr69tfDsTTMoiZeuQW62rhtlsHKeZSeVF7uaWD91BvYuUEeMIZa7F8NUALJN9yasiF4HbloCA
E2WSETrmnlM8T0lqm4cUCdommK3UzI/5nAv75JWetgd32vgg/FLmbIyzFtrCapeB2M+NuObsNA1V
DZps8oHmxs7R2VqEfQyfFdAey6wW6UMTaWSsBy+Ja4Gfi3XA8vO0x+zaOKBLbckmXnjHdLquv3qO
U3TfOjMujkPtfEA9KHnXWGPyY0LT5LkiV9/TWN1akFAAxgKvECiNq83sYPelxIAsLkpRVIc2mfVz
O0bTG7ik30DBN8eXd9Xf1HJ1wZCpsxKIp6XCXx3TMnRrfSj6+NLKqngy7Dk2AY1hNXfAECL/qA1h
X7xxQ9XGSJtp7t3QzT3a1+Yw3dvTrFsnoxPo8eSLHv2PNJWGxDQjjaeD3cre8NVJQHFq03xEZwbK
EUZ7mhFHRxuMp0Dy2TXow2CAq/i5RIQ5KOpIpNwnmRueMiiqJ89Jlfq+Cl2jBQKWpcZBpk6NpQPm
ZM6p1sbitdMlIj8N8WVIR2eBl7J6I3TiTReP9+hSTACVBmbiAfMv4xC2zbQTI7c+9iJpQTgmT6NB
db27Mv7SQHsV88zRmy5hruef2rbIvmPsrQaJUPT/srvoZdI2sej50yK/XjDEdNSUUafcDVrnHADT
vY00k3rTbPr7eVbKnefbOqO4AdDr56XSjl69SjRk1K5XMXkNVbU5JAYgxLKY853IvBUY6fEvDHMQ
vDc1mlplZVR5tnKn6a36w+or7aGRdfNhMBLx8eXjsvVA/y61fNB/2sG4Jy/saw8/WSNrA1MR8uwU
SX7+D6tgw0lTAOY4g8XrVWx7HuN+sZONshrACX3xMxq56c4qGxcajAM0XGAIoq90g1FI4jHTzDy6
hI7RBrnQFESv5uQUdb0O3qSOz5GLumuUEfNefr6tbe8hugGrDAYCEKLr5+vUVseUlxPWjQsFgSN/
LvpM8z3B4w69tIKX11t29SrG0br0wEktvkv2etd7eCZThzrxRZqT8mQ2mnsStP9OU6RVQWOn2Z01
THuqq5uLaowNmQrxX+seVYsTQZZabnwBshAexTD3QVfH1sVtdecA/7m98+ip7hS+G0eB8fGClFqa
tTeiqE5jV6GiNNGFnaq9LYXdUuw63Wel94zTyy91cym4wGhkc81zxK8/os7ssHcz7t8cMuCps8PM
l4qM3rpV//s/rESNB795UbRau9WnuSctWZbRxbWqqgu0JDNLBmyF/Ca7cNgz5ruZxROqkGYjwVtU
G2AkrG7gaYzishVxfGnarns0XUWcHDNjzO26kf2xGdykPFpynmVgho353SwMlBZmyfD75cf+//yQ
ZfjFYWG0uOywf4JNVFYOwkN5fEm0yjjEWiXOZZh2p0EviyMoUoUasOp5FVoB6NOSRKWwq48v/4qN
s7pEB+4oyK4UYfr1j4C6lA/WaESXRnSdP6bOb2nojQ+b0KKxYr9WMmN5+dSe9Cj/ooHX5JasGEw9
LHrlTln6e4di7BK8u9v4Z4t54B44eiOas5uYc9FFXtSKV3FoLOYKAnSp3CVyGAJDa+r7Sajq5eU3
uHVQFtUV2qGIu9PhvX6Dk6zszsp05Q7l2aY/WKA37yaBMJvft4nx7eXFNj8XdZC3gK1vx13IxNsF
fG/lLu77ygryFsHNJtSYgqQFcjkzdcHONt1aEX9OBF7QhYTZssphStMZuVtqbt8KOuMjjMYOj480
Ct9C3ZsQysiko+4E9K0PR33OCJ/3Sj6zij0Vkgqem3XRJU1SjqE0PRw07b1VtiI4aRl5BZ2H2z52
iPEuoz1S8TpXOlxKwOhXeCto1smFifoAmQLu3GzEe6KJGxtmGTWj2AKXDEnc1Rv1BppLca6yLa1U
u4/jIjkKY4AiDGxg5+PdYJ2XvGwBLiyoWodSbfm6/8QYBQXCyUv75NLHkVTPugzbCvpaFs5gefVa
+YwsX2WfDKnL5C63LaUKwrxBGAl2CZoPaqq6H1U3Zo4aCaO4E53snzMQ9fYptUJL3Ukctt7Mv792
FRFrZUqztpHJBb+a7mAi4IOiVqv7iFb0O1ts4+ODoWC2hC4E8kzrwi9rUqYczKjp/8z9JxWxi6DI
GR0vtPF3RVeah6Ztu/PLp3f5sqtEheY/+CHKfG1x+r3+Gnnf1RV6afHFyb30qR20ybcVLQ46YeiB
a2fKQSep+sbnUQ99B5/y5eU3jjKoHAydll7jEomvl++L2G6HNIovtp4b+SGqMwanwEqlfo5GPUv8
SXW6vRpoIw2lPFhQnkuJSBP3elEpJxWXsi6+eIqeINNSNCdrGMQCWtfYRLRYNYGAd+jEr/SlXaAB
xC0MpjhiNk3y1cpjVKZCx6DsoqDd8q5A/5WBX6whXQav+vVvFuwacNbFqYqxyPVDOpONkZVcZiFp
uKT0laGdpS3g/ZR0LiO1mndOytZbhbi5qOMTvrybnlgnUwNBmPQSR330BdmvEsBVBWnB0iYHYlPn
geAlLpyo3hW5s/jff/pqHyOlQqJNzbcorK7OqdVpIVPtijfbxWmHqzp6zIcMk1NU9BtnrJH7KXrm
nX0UHww4lgVTkFjV/dpw83dK3AzPUa3gGScivcnfjVzMkMkiDQ0to2vFUxgm7ZNXu/UbPeT/FpSl
W86n2rWKfOdEbFw0AOIRiCVC2rft97GO0VCp6I5UZTq+s6ZSi/wubvZINVvLeMxMFsoZl+g62KTp
KBKlz+JL3ivTo9v1cZCbTnx6eRNuRE9ngdyQ6tBeuhnMQKGZO3uw5aW0sIQ9GNizSt9TShByJm3h
7y+vpm9swYVeCcCH4SkIqtU11jtFU4plWBIajRudwqZEtwqEFgI00hy6wI7LHOVqo4f+NulTmUKh
Mb0eGzIEm75L3UrnE8+RZIcJVYffRujOc2COep3dOYXDP2CU8HMxu3TD5lyA738a8C0d3plqHA0f
W9uORGDmTl8HsC8j5b7iY3Jj9V32YEZd/oTK3ly9/hUD44XwBfSOJss6mFXooXZOZ0iy5VzOQVj1
w9mIzLi8dCl/7txRNwxfItgCxCd6USJwf68i2JzlbT+D+b+EcCxdhJzbTAs6qUJWypEARklEb+X3
NoGl9agiNaGey0hJF3UIhwYTpmuN6yt9rXX05w0thtckyz25/Y1dtzB2MIshpwdBvfqNObqGsD0x
o4Ryx/dXy+6kjOgzWFlm7kTZraVQGQT2icwK1girpVqziOMsw4HSEqZ26rK6/RXKMA86fc7/vLy7
N5eCjwR3hUqF+dB1QI+W6XYZ9tlFbQv3NAnDPrRK4ga2yD+9vNLWMeJ+AiBHexZN2lX5MISiwwNL
Zhe6Md8zmbhHz55cH/2R+clE9yNAR1kcBq1Mv7288EZQQmaYtjezR0Bw62QkbK1IlRZvsyja8mhM
k/NmAvz1+vkt2c4yJFgsLW5QpFljZjlK9WyPKMnuZqGU6ETNzhskye0dlMVy66xuJZaiH8nNBERp
HWWTVg2lpqY8kBvhYSaHPKhtKrKkmzQuICUOslItnl9+ixsbxQMBwQ4BjnCLdw5bhyjR4yubTJCv
u6gJH1Jt+O7Cct55vI2Ngh40fmlLjrHwXa+3ZJvoXk00FpdhVPr54ukFfAKE1KcyqIxxrt/MaTGO
b3ugpvbHKHL1cC8cbeSPyzSGoMwFQzW4ivjtVEs1KlTcbVUz+RUq9OzvxBinnzQ7yxb7FVt+suKZ
Tq2VMzz+oEwlLrQ1Ga/td5aZvNPbzC5QfnCtBzBe0HTLIYpMPwvxnj++/F02NgNFD4NJbkSTzHOV
oiSO2XepYJpWkpKdJSo9KMGI+a6wjDnI0P45hMnY70h3bH4iQJpUk/SXmDJcfyK3hKsSOr24dE5m
fNO8InueinygLjfjc9q04lHyfrneVOvy8uNuNZPIMDjFXMdUzOul6R5NuWrq4qI7U1z4iSzdxMfG
dU6DLMyJ+tw0WXbo5qLMg75HGT8YS9dAqqevlA8v/5itMwEFYIGOkxwyqLx+DW2+CBE4VnYRKI26
PvW9/jWJzEo/AZFu9xR2N+IYNGwcZOnFLunP6lxQZcu4KLmAgP450ByQk5J6mB9e/0zku3QjFm9n
GvfXzxSRr9A47Fgl05wnQLSGH6tTfoy4F3e27tYxIxldbFnwd77JFsfSEpWCaejFtDBfbCRCdIEx
xs6XUQwIrAq9y59f+3DaYjEHzhYKNojVVfkyI7w+1F4qL3pWazRCzT6rD55RtrjlzLO9s9pGU4JM
mOknjWWbcLYmpuQmbUAFRujF7d2qCLoiRa0qR8Xqs3BDKhlTNqhHtbhnl09eMcQR6mke8PGpthaZ
NC7iif5w1IdHTAvT+GhX5pAfq1xvQ19aRmW++oNAS7cXJRNEBkDNr14PxEiIFgMITgv00THxRuve
EmV5x5ES71qv3aOLWeyl64sMYPnChaJeBte+JniApyvpuxTpBfUyIyDtqIPUnb273Oidu5e/vLbE
7PVaZB80SGlGQfNYxfSorWwb5ll2IahMzSHuEIK7w7SOYnkkTn0qKNu/hVlTFefZqRH+nqBrjL5R
O2mEcnNVCr9qZWwjH1aN99kYeb8BMdWdX3ujCo8hGobogA+8PRz6dOA23vn9S3969fsZiCz6F/AM
ACOsvo0zh0bpVACoEker34e02+CLkdf55qTPdlCHlvk/CkcPFpT0iEDCMdOPUgg5Pdp5lo5+DJ8m
2Ul6bk8wUoDsb4AxNN5QALsOFrzPTvOa5apGW++Tlii2bwyed+xlrz2X3fjl5ZewsdzSuSfgkmPR
DljFpkRRhyHDzBNbaeqRGD/Mt106A2jybJo65pzusWaWf+DqpS9KWAuP3N3AyqQmIR6RTLA/yIp8
GGIw2aOqTsdpNt1zKCecaEwn3cl/buM8mGaH+pmZIodxPS4JSzQNu170l1Ko1XHGjzeoc93ZuUiX
I3b7dIxMKWrJcuDPrbvPNk7Dai8yD0n42ohPSOal0dt8cqyjp00KdmyDMmjBEI/ON60diuYYW5A7
D0NT9ROydEr/W1KQ6Astzf7ajlb0rgyzWL61qmaMghqdueoRVknbBAPy8AVj5jqOgPToUXMOp9AZ
sLNvx/59M+QZ7Ou5y6mFRZi1D3OnyjowCsf7gd6I8tWsLPlecstGtPH08KsbRfHs2xlp1QFJGuXP
LBMcZnNcLt9qMmp/TNOYyUdvHsdfltb3KdQIC9U7Q8DrCHiUGO8wrW1FAGCs+bwc4dgfaYtap6q1
MKydPWcS73Ozyj6puRRfnVQvvqIBntbnWM+az7FLX/uoJfM8I204YAbhd6EQ/8sUlEMuHb0hxXc9
XGf90iqz9uMQ5q3MfCSChHkeBpvRiad0U/kjQiJM+NNUWR8UtXB/JoNXWfDrHX0460lli0OqibZ+
FAqj0kcJXSo6dNaYiYdFME19ADRuGD9hSieKr2vaMP8ioiHAaVWZDlwde/AwSLwpeyOR0eLGq+tS
Q+IirD5KSwkXaRV79NTf84iN4p2iV4PxJjUKZrPQY0dVJzQ7Sp7VF7cRAFN/4x/Z2QE4rHwk3zWs
30wWcvuBAn46i2mumqCD+ercjXSc+rvM7bPfcah3XxkYk6lI4AxIVpaaejdm/A0+KMshP6TtpI9+
3pYOwu5g7suAdthQBQCIoj9uXhom2tNKOvtdLrPvxRQNlW/LCHVGlB7cD2kZahmIMBl/qaywRHyx
rbNvbZ2YWaC7DTn5xGXngXEDuHcsLCErHzSPNvtyzoDqZHXugbmaDPk7jGovDjQNsAdw/GhCbXIW
Xnag3Tt+DqdYe0sa034DRNTmx7hsRH3sM5Te/Fp30QW14zDMAtdriyqorbn5wxlHVhd4xRMqM3mC
NVVrPyp55wK1cxg8ykITWkAlIoI0LO0uQKwueVIaPLt8q6mVDn3VqnsQqZsVPv+pP0eVyB5S1FRR
Z5Hlz8mwpXfWxaSVh0ZF0DPwhtB5StrCTn0l1/sxYPsjoMr1oBqo31nO/7TeCL/OehThXDQmI963
IitPuZoZ2aFVuWce46rSIZeI0kTTzCHLVsuheeiSFEEx4UThkzaryVePKzQLJuxQPhYiTD+pVoXq
koIoVoAoujYF8K6jX2YyxAr6NpjnBQKWZeQrqJxMh1A4uXtXau342dAr4z3UZAMdnCISn1H7sZ69
yOyGYK4m+20nQZYe4sQdfhWmMul+1xf0L2vXLfBQlh0+M1VTplGgOTJRD3HRTyiJFnOv8L933jF1
uzoM+rlI32HUHGk8WeJUeK81hVUdjKlJpl/Q9jjKjYdnxaFg/pfdKW1lPkpGZu9mvEgOslLy0i+K
bph8YIfmHLQ99N9DwXAPy1s7dwOJc8sHxbDr5jC1g/4OU9KMP6y8PshydmUwzoMVB9Lr8q+JqLM/
olQQ+/TyEgVad4qcll2Y5++rqULrzJqS7kuM53wUVGMkZz8fVA5IX4+IxybYgP5EvblAWZRgJg8N
cpvhqY1t+7OtpsOfxnazz0beifHY2n1rBV5jx++tUrGjM3hyiEBTXnXRIUZ7uQOiRSPwQMLvaWQ5
Udj4Q6ToZ7MRMjoZBUMk7Oqa+s0odFUQ6eTwHOo6za/cJG/2Cyc1fiVqEsXHqa6m5iTE5NLaYfry
DeXzFC9GWmWJ32Gr+NwocdgFMrGtL/T36vaIkFVd+PAy5z8Kc96Fxja6sz9ryvSlGPGFCrxIkXe1
SVEdoIKJxRuzPEUcbPaM52tKmb+H45Z+BWABBqxv2h6auae23/FmrKYASTb1h0179ksG1qLy40YX
3zNrsqtjZGaEB29ojdB3EtYK0iRZOBawzSw/DZPyz5AAITrUlp3iA91jwxVUrpq9g0+fP2mwEkbk
Y2OMIMnPjc8wuelBqpj1lM9hq9o4GKL2+GNeACYcR02pcSfP0+SkO6VxMDXZ4jpd6W0dYJM+fi5h
6ZCaWqNiHSMy8eYgkCbvDk5dz5o/13o1cv9hZnvGknV2jq4yOGBwHAX4AjjVUPdNs5wuBeLL4bkp
yoXxh2w5L0Uf6fgHlkCnMchLJGCPKVYTn2kPFJUPiAmAXlcUxu9Get4b2EfQDZ0JjotfyQIdUCTB
pydj7MtHS8SIPJtRDbiJK1K8m/R6ejZxQH8usoq9Go2J/ccNyeOOxUw6TewQ+v2Yik7lpozc6mSO
VWj4XtmhC6BOas6bSf8fR2fSHSeyBeFfxDnMwxaoKknWZFm2ZG04bstiJpPMhAR+/fvqbXrjbnep
BHeIiBsxhsN9MK/hbVsvzZ9aUBZy2zVNX+zdOv/UxOr1527lyGUF5hd3rWyOGfon1Leb1N6fmXS+
oVwlf8NCPmZLmV/c+jSpxH7J9QhsLjjsAU0eNWXQ1SJ74Mihqst92ZOL508kiwTkwU8FllTmXzRV
Q5Qf0m2ac7ebZOQtq7MvjrjVnk9UEyc/yGCYixEZYEPmaDsPORz0+EUk53owWzQCLFoM4dX6IIhM
4dWqHnLPTtlTg0/Q3eru0VYQAD+qPAzm7n0dluafkL5dyyoZ0x1U24nxmXUF73/khBOM0xAxYGjc
EEdIls9+5vech9gGPx2pv+hiZ2R+qRzO4c6a2n+7xFuVldtYMRzLq18HWOG+pMip2ySFHbR03Tiu
1JsfEgCCCKfuX9V+ZMMJPxJ0QmvrpE8Sv4G1TLaKZ1L4ZsNQmWu1f8HkTM+9MwVjHo3haIs6TWVf
WDKEt3Lvr1ULFmP/vtWijW86v2sfcH0znJi06qrniNT63PtTvF92wZH/mSrhPqeLozaGAm8/iWWU
2SMrfPc929HhnlQ4J2M5RTtSt925yiXoNzsV+cDa+eS2uA/msnZpO3UQk4AzLIPb3jsOlsm5UWKQ
heXYgv64bpJXlGr/bzpM94xrDdu/Fza+LBaAM//mMNP2mXlLfdHxFGW8L2Z7FfEuvjV7YF5dd6QN
unqCf5hmPVe58KmwxYx2yuZj6NL8nb7HcSpN0B3Eysa/h7TjDXMPFdxVHXmq/ARAn4RmUpQLb7By
ykOnWa92liJ+YJfDKCOpUi3LsAsW93T0widrqJmpiyrYoqhEpIOMaMCdwecVydInRECdx3/UVD2G
6FhR8/g1zr3GlGLM5axX/hAv3CcxwNvRZxJiuSvCCzCoNaDn8GcDg1en6uqf9KOl5TKfIRY55dhF
+aB9npVqX/rPhc9W5eRKeT/GUdY/nWjJ3hPt0uTrgZq+dFvkXmyDGepZHQZPb9TBngKhlkRfKL3F
Dg/85EChxJN4XzN3lSB3/XIT7qqZbnAYD15HLNkC9g+vDXKpfDSN2UJc69mdnRBBN/lKQUnAADGj
rp2qpzA9cOnBB3Yl15z5XeZsWIPK5e439txA1ZicBKb5Ou0m7pI7cdT/t/jToW6msHFextFtu1wj
VP/pXQUiRaSOlQ0hRj6eo47wbwgx3+DvVNvj07PZ5UeGv7db9CZdPzTOVfdNwmtX9CoY5hv2ZPzV
OamgkzgsOz3j4Rg+YpQ+wQ2mjYdTqePZy4jsTudDapfXLdIRn9qNBrfg3sv96GXX3dm4sn0xkRTY
FGaW29uMaA/jRQ8/zzzjVHwrmkXhJor+vpJF1du+OXkLg3iRTWw2JY+qh7M46tu/Dc6KXqGyNuly
uozjPngOQpBvLAfJkPudz7Ab4A/+Mret0NjiDP5fzs4jRpAMX9k6meV4wvKdhyxszW5zDD/m5xpJ
o8hxHqj+CxbP/DrkqLZyY/iY+J6um4AaN5KY1r03AOfp1qu8grREfTPP7Q/8gbInmBv6/xHvWNFp
xqQw7+as/mvmoPoD7emNRZTO7lrEVSj53/rt/ijgkT5VGDFhN278Mjoc5+aTo/rHWroQsPsUbX8G
EiT5mjzuoItQSG3LncnrP/x91BsZU9I5W+aRd+fwli8ihcaeG9IlvRZpArvznunlzzis/Hi+3lfQ
Ze4AHiv4GIsZ9tD+ZUXbvgY5NNek+YFHNBylwrtJrbPNu4YEFl1tER/YWg/TloEdg9CS31UVmAcU
DVFY9JMc/gapUH/DOqNrDKHVA5nH+mhL0znhe7iwmxXhlth3FloKGQULnWRKeb4nGCtsi91r16Zk
zJPX72fEUsQcw/4RbfEscXw82C0j/wg+OBRl8nHa1eBRGmUEa+1kF723VWs/8dhCytGNrE454hTn
iYk9Yn1d5qG6rPPo2XxZzMaveYjm9hTIGtfCEZ2loStu+++x7Svg9US5TkGD7+6qbBJUG9Xv/zm2
vtqxbrr7PnlIgYQzxr8aDsX7s7R7xjGCkFnwLSWMQ5YpORCXtFKmL5k7JQIWb18l0QXYM+Sb2q8Z
KHElJmQn/sLmPIZEeeAYORRuFV8B47GmjbcqUf+6Hg/A3O5Hyw4I9jecrk3743DCzeQx0qC+pEZX
j9tMomocm7ArI+0ML6vvthMpEpH4JsYsYXCfY3cuuCvw7wMONgDatEE9Z5kef6R7vKhCW7u5BZIQ
h/bn9MtnXx3cpGXOIaKcJXe7mbps9nJGK/WTcN50K7DMrdrcUcr5M9A0/qu2WHz0QX1kuR2yhdof
CVyDp5ipyws3L6X8SScrukHqt31IInzMnU0lZ/r+/qNzRfsHmcz8PUm28YOgBS+5bKs3myIj9rTO
dbxLOsY4LaJojjGh/I/IgfORDYfluG/CP8uizGNAHAOMylStn5vsx4Gt+7AVPgIdYX4DvToq3Hmz
zwN/9jK0TuZc4tHbf1fjmL1Uq+mysnIQXvEmzIrOHALg5/8/EcobZA23a4c9beEMS4AcLD0iv7R2
an/2zL6XbEyzD3vEIXU8m7qIemfSLieNKvuH58/c5wyDSp0yVYXDGV8EjOKDtKGg7mTPvzE1evd2
So+F2IPI0yXJnFqfCepI/2xVt3+E1jd3kdchxpnreP+kXPOspCbif5iNy0SVRDFY5x4QwKfZo/Rp
SY75KIK4a/9jPsrCfE+d6Y6jDJOAUiwoDsAD5uq2kQc4kp7dw166zHZA9m5H94ixmsxYaIPx0rGZ
bzdKro3DUXzkeKdGD/oB3cq+F61JW0FjmoGgJqfmt9/N5Gzm2p8G2lmw2/TbNXjw59Ko5YmTb4ah
Ixybe4Zm1jWirOoJlYReR6zVfAC79nAC5kKUfkPeSLHq0xj59XeXdJCbyffFiz20dkovm6Ysr7x0
E6WtGuxnj3S1EwYRadoWTbPzdiycVACXrf5+SsNm+O9YvezDdYzqimbOPAjZmZzQfE13n0zQFJC8
WBYZvOLJLT46k20dr2NqLeCzlu4te+NimVitaovaKNcrGoDlOo/STf6oQ8m+Ea9z8+g62TAXTHSN
c+YwEbaDO8jopWtibyoHfzmQLwJw7XnoxRiedMkmPuNhNTqv8bSj12ep/tV3W/Vit6CqSkgG/5/m
p3nsM597QqKU0+9bazY+49hdr5H95KNCkjXmfcdSlusKUDsPVVb/MYNa6mIUs6TD1E06nyRb+z8/
sGlTGikEbcWs14BdGXAWKhAWP1YBUST5DECjz971wu7OHPP65Azd2KAHNNmzjNVCgXbcA2AjUYEp
HdDW6XREAgPpDcbby93x8O/EIuKQD1zF73i5cM2WDuv43Qm95mHLpi0G0dvEW7IvOizcuN1ebefX
fF/1TlCIEk5CPjs2GhBLS70VNPkkvqsCtX3JmNTsUqKf+5LhDixTh+6aQStlFE5lhuVTRnZR+W56
/57JjKzU8Xrql2ctGE+xTXJ7UoyxH1OGL3SeQMb/zI5uaVjIdSdypv/04+o9+7qOM0NLtUmu4Dgk
YRfrCQ5/zjLRNWzawvdOIWFoMSdVifsDQtBRtxN5cHOeVX78OERVcJfw4vrXPJXlY8P9+j8mOP8r
GHe4gIbII6ewMsDIR1ZJ3zCxHZ66VFPrfuOGVCqE1ZXYytTW8k8bLHsKhZbVGhOHLNYnc9Tq1wrW
RnxAWPfyxCwAtJgsR6vzZmzmr8GdXQ0HVI1/V1VTPgcw27S0qXB4845tfNa913yh0GHH9udlfSWx
b3vaw8b+5vkIXmL8cf9rQDn7fNOoQ3MvquaPEb+Ih7oWtX85+rX+szMxpoXqdnjALGEZy4/eF2+1
XaffR++57+RGyB8Kr6B3Z9Qqvlj0g0/c6yd/2raurtGVpD2XMwjcVB6Ot13QpaEqZMj0/x2owH9r
TIzeh2kbtwKrIxZXJlX/c9zB+UucpGKeuYWXZEmDHuM81+tfY8JrUG37FaISQrQiN88ao7N8H4dM
FZG7bdslUyAsjC3C/IK49r93SSZ+LBEO2oRoJv2NGV1iQnu8QcLC0ky23DSBe8DveofOdxvWr5Uz
7zU8nN+92axxKJubdYOTECr6NznJDpwK5fN+tMtIzRhaGQJt96R1wvnYOxnbLUH1kJhfXu03M0Wt
DkgU0uGa5jyXSJ756bAa2Bf3nkJEeWsrUcG8Sm/9QkpIVXH3JvEKyCXhnPm+rmwfj/nrLpONfcGw
5dwGcrNRvgt4xFxm/ZaSyDasHzNXA1PO2UsKFtcxy+YDrMCUE8oVLuViqDD5iAC7hTIhGwygyx/+
aQAG8GzPRYypdDCdQ7SFXhGaBRP5vVGc43ImQmmcMU7eQCJwVckjgMK9FKCnNVKSYXhe+rni+7Aj
FrnhKLKsqLtZ3Vkfezc+Yrd25ZjUwcMwj1lcDE3v/qqIJvjS0Bc/pnplxjDkDb0sKH0VOGEkQsqT
drIyGIbpzTcEa+Ub0QU/1yVYg59W2fBlRkomp3MqIb3f4Kz1v2W+BiYx3S+BYGmm10WXuO3kQ+9n
C/vMPKp7r0XPcYPdzjqe9lVUH6TpprdMhttIjCsaigK3ZvEZtlV3nEQ1pCqP9xjouXfGjNVZrMvP
WdsGlJWa3VzWxCwPmTHcguM0uX41s71ubCyI36O9l8976yUTTgcqsAz/3fhgpec/9+vmtqeZAy0C
nITev7oxDr6JJtlfI+n1byNPaVQeyWyf9y1QfwRhVr8miHYQtDZm3ZyCbvk5ILcW94meUsVGNFjW
ytlneF5HrwMSWteIXYJC2s6PEnRVeTeDSIO1B4SJ9igA2nd3YVzUTIlPPKPTq2so17RMCVNOtzO5
uwiD+1OjvIqdyyOqVc4D6DMBwsmUO+nmuaWivv7snD54TkFOGTeQ4vyzru+/kUXkvCs+i5dPblbt
8ELa4zyRbf0zMUEIvcKKHBQoDro7A6YlywYjZHBAqsyjcf1BcIXl2/nUVXwcWI0tvuM0YgrPbsOB
0CdRa2wDBNMuBte5amWSyRgoceRio6c4IEMzeLhVcVs9RlvobsW6j9mPyc7bfONvVbJf1rHr2Gz7
0ZU3vmWJO0X+uK2nIZjqt8lBJwt8oYB0hsM2ceGKLOpwrW0O882N6646bWSDZOU0xanJWy0TwpCQ
YqSMJWZ64WJjJw4Nvz+k2Inli+jxOf8BECF00WWDm36SWBHBCqaNcu/04h1RntA9m0JL0mVOJq2G
npeJMf0CMYQzvV5YHOZYzmM5j+O8g59yunEKvMllAWxrFzeubEfgcRaDt3nPQZKtSDfpcW/+XqWA
/1N0dXWUmKC7p3jstl9rspistEFiuGCOobLyEPHF8cSvb/YLE8O4lWZN5Tea9vi+KhvcZN0w/+3p
YM3NijK3P6d2J2QwnufsaVz12Je8LEAInZ/MDWtG3Gcn4XEtmrdLxIDYArDL87U9ere1Jcv4oWNR
+FsN4fE1zGvwW5hmF2WH7zfBmriziCIbuFXBde7wvqIpZLLJgcNMfPES6ZvnnYj04x3QY9MPBxB4
fAoZYxrizmz9jyu+er94UHfjt/FIgWUIz07GXwIPUv/szVhhlICC4XyLtLirz2uiGvEY7rLa8toe
yXRrgdMVm2i4JwXvBUMwaHS7341BqL13yhYbDUmxLHF5a9US50NLD37c3KGNnh2CmKA8nWzfzInj
0eGVqaqKb91tFOpJ+FeBWJ9Gu1+Orjg+RQsU+Ge5Hm9eSDZCke23LsRd07reKaDkdaeWxI2gIE14
IG3ETqN3Jtx4YTfl+YFK9Swmbm0VroZ/U1ThHW5UsfmWXYfun9Zv0u1vNzgLgYUwVzrvWR/5vnSr
t0e8V0knHoXbKeKlhyB4SLaNFBG23bEvOI/oANKtbXAOrej48V8RR8SOAeWPdTGkGn6kiepsPcFN
ZL+aPXPQAs6H/zfYQ7294P2vl5OwfZ8VzroyouoZJrcYPdH6F0tIs33AYNbxLk7XQuo5itJ7ps7N
X1vgKPds5wrbBgMXSsyjZz9l3YGD9NW+WYaXzPta+cvXeyC4uT8HgJjmZ9JQgy77QXYpbkaR9yRc
rs8KyYUCEy42PEHhYS9i7n1nam8WSVBBiV3Pcu9NlN5PGktqC5inyXt2iPoJiiaVmfMcMsBJzBqO
ZX3MKptCUfL+2++eWJR9AKtOwndc6+PkpDcdwrSI3bd3Hek65oF3wCOm8SCR8AROuI5lKLiSz9dV
R+5fD55blWkLNH8b2GGQt8C6uAugv6eJGO4RNHWLZnGjIiObMopbqy/+gpwo53Jl918H4CGCiXrr
Au64QOnFvIttepgSTS8Y2GN1adWEQH3Du2bMB3lQuRFKuN9cb+0AndpA7YUv8a1mNcIg9S4DePs8
5A7HjDZdE2hwLFVwrucKJ8CaerHeT9nMcwTFfWwlxuy1+NFdjyfoVS22ONuyLU4p4j7s+ZhLRVgX
moB4KyphVtKSjjUsMg6jj5wHzsQ3OK135qz7g0yiKnOH+uRP62QKFXZLX2ofauhU4TDnl40J5/2t
T0ffhawMl/iV3DEvucvgVlkS8TUsAmfig2N5bX6qeau4cBGI24uVI9Ot0EZuR9kOKz7rudmN2e50
pdq93I6w7U5c1fj8WPHBPU3jKCseMztFL/zlNEjBD/dLG6u98jBLhr0FvP4nm5R+xASp3m8g+Zq3
sLq2o2awqXvvNptrzzKzTBaRZd6EsSNuJm/iepR3XW3oi33jHHGJAuSA/TZJIPcCGHUO7vCwDn+E
rLeo7zqDwV0OWNlPrA3VcvwinWcec59wxAp6YYL5FdlSVWd3dUP5EyJC84tZu7H+BpCBCkC3xoAx
w2/Fp2FrECKiO9NQ2fXgrb+A4Zv6TNgPbqNcSsRzKVMOh++aiHy1x2lJnIcIeUV6C5wQy9yRbut9
i8A+fi5rFQGWNgjC4FC1QwVT2QQ0F/bhfm8SlIfFsBN/BbYwShA6b6yas0nqeMy7lm3yTh4RnsBT
33ovILOsGOOg8NYz2QSSOqpKfzShJ45S2KOtijE+pCYWRoRt2U3od37j/M3kG0BPdXkSDNNwo0Sr
3aes54byPK5j6j64+N1RwVcgAzhNeBKmHk4DgujECIGpD8lOsbnwMB5zuSjNaU/TDYC8Hspf5zGo
kJ9/j66OHG+9aZoGMhiv9ugku4q9N0R5Hf2QhNOt5bJiMPzZmSqdIQuoowPzOfgN4KzLgz67LGGX
UAFZPh6E2LWlg/A1OJnIZuZmqkO9nDP0gc2PRW3XdFWu4qbz5uAkLod1FzfWakMMLjbuSnWpKv3W
HLCK6DzKoPGiiaz0TshbutyI0pDg1DpvjYYoVG2wkgARtOM7eFcVFy3hGk2eEpn7NR4mbjEIGJbw
VtYKUyYip4dPKT39ZCG/3rlt3/6Pm7gQAcbswRmo2PFvWyCh5jWts3TPrQ6TufRl51R4CTESb5gg
Q3qhLgjO04R14CveNUjWExFM/7pFb8fdRBG0J8e2JL6is+pvp0pC21heN/8F/YUQbjH2wN//xGCH
7sLFaT8WCh47Kf0pidfzHELTc1ZGZNpMMPDR9W2cu+66yocaW3HSXlIgmns0r+16jjsxfxiFNgqM
amlBFjN3wj4Da8+KiljXdaH9gwP9YT3UG9vEuD6pKGvuuSpWNVby+xqcBSAxKMHaw9vq7PAmZDZT
UJXS7/s4V9akqHtiBSioZzdM8oirtDHfnMA+tHD22aW1FJPC01CGRTRu/n7jz4ptbnF0u5ynfpYX
g9iqLgIM+Zt74o+dsawWLoZvUgyyUOHuU7+XUZosshD+7h2lqSOxFHAMdGzafBvAa4eLU+xRUj9s
cg4wUp9sCrKX9c2jQcKJkqhZIn6wltS5uPVMcCFDUv3uJhLiVq6W0cK0fG4PQ+DxfLBH/WqaOX7c
+dxTkVXpwvZdt+LNboP/BxOE/iWMBvlRV96I8mI9wuP5qrxJH7xgBXRFu6QxsQH0JoRZpoIAWRxk
P9o+kk0emHTQQCBO1ua1jrPjcmzO9M9rebHPw1aZ6TypNoouvIwmPflNsg5nnCMQSRmx7/LiO3G/
XWIUBbrQbZ1EZw6CdPW6LizLpQrDa0OYjPvGX+ape8PA6v2x0mQRIQyO55fksRzNWaaxzs575x3y
ZanW9mfYhby6rVDV7z7NNAjGFgYf0D3ouDpsw36YHcDwtNU2+lA1JyT5zIIHV8zQwitPYfqlwdya
omrU/GXJbBnLFm7oEUSwR1YTm+QZawCFuCGN1u4Mu77xJvlN5eZuIFr0RmJxJ8wC6xhkfHSnn43Y
MgKQY/mFajgcHsLdbREvj1w++KsYiLsWDRhb5LaSm7aZT/bDRLNobpBuCWaAFeT6dUmupAWT9vI9
tvP+n4cWZ8RsMmVnJUxu/oSg69r7YDI0/CqOdfgt2I3W7xa9JNFvva/Di2qoL3e+A8R7qQ8dLOWs
gxXNjG9HTlArFpsOSGm7JXHZ/MCal0fUcWL5MXLL9p9Fef3dyXByLgh/FS1vZFMnN92GXUDZzOum
f8mjcsOrOitYbxY0sdOlkuv6cph1ZJ9WElMYA0OflcQ2wh3VDlmAedq0ZAVIyXqLmMPu+gYh02JL
Z53dZ06MQMtEMyt8Rdl3m/PIOvhPrOkGObUnkNGq5tH72xN9XOeBvx0+KOa6zbeI/vgSGCRkrqdp
H89BY7ymjDcT/ma/QDIAiLaPvxZhLB18WelJS0oo4JJzGyLwR5a+bk4LIGz30BO98qux/dCXs8g8
99QnixLvyVxNJCrNASxK0MOb3bieCS3OQqP7n6kswh3E+NGBpMqu/2njHLgpzO1iblAKEZmQRFGV
AjmulITE76Mnl3nYfg7zAsayBNBzhXU1F8TD5DQChZeK23MTdnjLZnju4c4XSPnL+jhdn5VVyt5Q
k/rgxD8JarOscISMxh7Ps55HY7lHbY93r+mq6YLDL95nyPZCc6p4UIF9Udr/7IbaTR7muKrRKtSG
9PStMWDobubEd7uzSMCiJpkHOBx1nVAxxYyKKIkQjNQcngOu1m6FIgkCZrqdhgxXt3VK661E+9Y0
yEwkMNYqa0NSnExBBz2ROL/2aWST4uv67TqpBvKSnJHB7EP/ltvaQBOhtXQRQVChnZxM88Mvj2VI
1A1ZdOmfQ5OZiQm6HFfmuLpn0Gib+XVd24ys62bz/sW6iauTAv/+3h0akRGtsuGyQibxlZ4clxNn
2TEnJVsTlvCJ0euMnCY+cdJQ/cOLEG3O1UTn+Yj9sbtk1egmd5TPtS8ZtwOfFiFnNuLocNEQsc83
55qxMb1E/OK/XL6vmfnWJERSIlQe/miFU37OyAEnnbfJ5N9AC9R3XMY7yy23bll/1cEcsohHQn5K
HwhyfhExaHruTykgn+5Sb/tG3exsEWUyPaXX27HcwCh4NxHGreOFxajh2q/um+EO5XK/IcqMNIfp
CUjbmSd86h88BKYjbyAox4mD/epuUrt6aAy//vMRL+4PyLP1hYiT7MOfSHlHFUd3dMGnXR4ehIru
V6syp88NxGZTQgSRwtdnG+QGKPyAImwDCF/mVr0kNnRtWfFlc9K5TDLNDcI5i3BZW/8E6t5D+nmt
j34cjL791pNpojiX80wNkQ+u9Z5MgXDu24BBoMxmaOAiJILaFn7jO8d3NBsgb2ausri0gxs9DGjA
mpdd4G3U5aQp6qVAldI+DGbzpqfgsAqST+9Ndgmctr066WvvxeUOE3M+p/W376Ro1xwPu9L824Tp
7LcNDFg8MZLsV0+DtGIenlzhXqBeGUfC2Mz+M8iUMCcyg1DlzDrt3oS2fZgHlR+p1wP8l3Gqr8GG
GcI3582bZ2e93wcPdu7guCR6BP4a1jNpAlH40xHDEZTIujag47gN0uuWYrndQLTUlJrBts172xmH
r0lmzx0LGvA1xKh7g6A5+x2g/u7OZgl5brJs2JAyBsH+d1mznR7Yz1DPNUoaHqrK1F+OVNn6gnQc
4jWEVlXPYZPuqEgBi+zzESzrB4LaXiFpRbmXz+sRj5fQIIY61SZzNK7Ou9aF2JL1mchnf2WQrcRv
wyBUc38inN+7dBgWh8jnqikLxtW+ptyBmL8xoDBS8tAajmPEIbcfB8Eh7rMBMEIy4S9hON+0dqVB
1SjivvvJHobgIFH2NnmD+2fOVPIrQKm/XPe8+fdYD132g6xexOP+QZzuvXVlPTxvR3BFrNI2nS8+
sls0vgHdqpA+ZO/3owVZuldqnrN7TybwC6FZ+x8Rd6bxo2MWv7swAVX+ye8hUm5rRGwOOJdTKTbb
uG63+y4CjzrZJV7/ZrTatdCNlJRqLdzpPNK3uZH3PA32j//bU4cmcczjVi7ILyY24ecdAEmQaiem
KmfSGM05lMew5shiFe6YEbQ/ysmrmwF718rUIg+f3z3DGLanIcm9RaJ2ARQm/CUoar53rKuW2Qqm
iziVhUvBvY6w3A2WYof7BthHQ3lX8Qpmxd6CYRb9PKaC+UXOU4ENMp8wzaSrvo6tC/zmqo9e9pO6
5gAWHrD477a3g825AQ3805I0SfigFWmsZagxb37A1wIJtcx8qV8HMNrjvJNRcn0aM0A5LjO6oThi
PQ3nEKnKjhST7abDyQNNFP2aJrjG0bsnAZoKJl1vvJCiK9U3u/btq6fkqItVd7tTkiEVwoZXAZrl
EPz66SCBwzmnUTAGp0nWtbyz3tw138JUrkyqwYpGk6+G+XNq7f44YZqAxdc8CNxVt050LJ160oze
2U7OrN8N71w8Jzc4hi4vc9AgH9pmKf/YKBm+4CLTV9JpgMQXv0J+f/jHg+9G/dPA5fOznYRRpw2m
AoXnsvsvA4MwnDd090u40oTgNLFAYjayyhQVAcU/tbvo9WwnHWT3wJReUi4puZG8DTOtFAgAatyz
pDoIptDfY7quHEvsCjncXkfpV71l10SzVvdbgTBOy5usmYOv0UHeeooHRBUskqnfYp07dzKGj+63
/xZOAN42TY+4ctqxPofH3LtP3k6dL6AxfHUbtEt1XHok62SCLhxB+PuYvnqJidWTRKRngKwSz4Kz
pJV4WsjHGwudrtjYrVsa/WnavksuQB2wZaLW7V2Q7BlHDTjYDzc0dYP0NKndUxIlajyhaUU8p7nB
/HYwWe4o7TAYvBu9zPsujBY31SQQNPlzxQ+1t7ZikBFueJcmI1U2UEL/XkfHd89J01Hf2dspsnxI
lqS+HeL5j0dD+bk1sVZFgz1OcHKjJkhvxpYB/8Q1VCiZciaCOpeqFgl3LxJlWRfb8e82pMvbvjvz
cuckrr3tiR8OX1JzpHsIsdwen660nPWEkw8VYPES+61Q50ffDgpXicC8m7jKlXN2PhaC5Bqw260Z
z55DBDgnDHZ5bhxn+sTxg314d131IdqhE2ekWuiVu3UF2heTFBHz+eS+tTAWzSt3OPYnGwo3dVu6
Z+V+0Df/R9qZLMeNa+v6hQ4jCIIEwGn2mWotd7InDNtVZt/3fPrzpQc3rJRCGXXu3sOKKihJEFjr
X38Da0LaqGsa7uGZUv1n5jbjtLHKnoOsMWd6li0N9OecFvM+gXP5GVMBxm1uHdW/NFy1bmVSv7rR
sizdrQl6wJx2SeMboA/2D463U7s2keN9n0SYfJljE+tVy8AkWjUzNA+01/EyrNwsiuFhnYeHt4bs
mWkrgpa6UncCpjiia6gco7QcEJR2xv2rw0njk7vkIXMLeBK/dI/a+aiHcUFHbS+q2WkHovg6sCdZ
7yVlWnCe6/vxemCQsa2tiOoLB/vyV8yHGJ26AtkaYKLjZBtrlBywvVW6DRczJe1tnjPSgMlfwy2B
UQiBvnBoCLZZa6x2W/nhdI9z0qh+LjxJfFaoGO2bSrs5Kqmkd4ZdFPu93KpRzukh05Nb87w8zohs
yToUP0M0xRvaGvzrVxOFZEvmCbMQQPqq/I73FqIvXoWMN8xGz4SjyvZ/2hXMqxXM8Sy+X+w2q7eW
MnC7qEhcl4frFpzNRT0E/a5BLNMejAXozih3gTXbdAKMuYX72m5IFCl9GDczFN+Y8hvhXkiM2BZH
bwdqS9Tdp3qs7rTu2nCjoy7Ut0rO4qec8C5msjqM7h5gaZr3beyP1Y+01a2zjgc48qczW6zaEIsB
BgLEZ4aNskJUXpQWxhxaMSbJ3VKL8hfN8fzEeZbGe5Q08Z3Vqr7aj1MYezeQxP1P2FPFv4qunzE5
g+XsQgsuGuK/yiKOaCmx8F7leuBqhlVVxHQl0E7XiA2QIzG+DQGZStrEHY5pxPnVseRqhojnLfsx
GTr3EWGViHeB0yW32DAv3bal1E3vWzqMXdFLfLd8q244LWOr+U2Ij5ucIB4Oz74bxPcunca0gY7Y
/RsqWz9XEtnVvfHHpjwsjd190Nkk0282CMTyeQmHMT+Ybg479igqkk2h68GnREh1e0xCzd3C4Sc+
TwLX23XmZpxyFPscu9yAPb6idE0tbrSicPfW2LvWBq1C8QSAHf8urcH6VUHjo6/rmSZCHezzH1Ze
UCFqQXbBgZmRiklBzVLKp2SKtk6cnEdeRsYQlKhmbxsQhWJT29B00bbL1N2mQlseqP2ifxZTxPBO
DCiFqF7qdNlMBSrTbaZj+IQDNmzyoCwYJPukX5xvuodRRfpu2md7W+ngpxr5U5s+6HE8Yh73gGoE
qlU/QYs5u+HA5enyYu6OHtj3LlXzVMN4YC/lCOKK5muUDJbDmOfsQNhIb5z2NdhnzaGQmx9oiOUH
6BXOT071QZ25VGm4A2yso48isvsKbj93dPchSseSCQ4s02Cb5NM8cv14cXoQTuhQZ6uZ5hKae1Fu
LODx57KO3H4vZ1otZlphmd9FDiEqaPuCsn+0I69qN0M9D7fpkBbwTSFH0jpJJoF3CC9KG1psvDD8
z2VFsqTbxf10sATw9gqEVRycKlM2PK8JdQ+ijTbZYAhU3HhJUbsPZE5EzU5ZZximHfz4kT+o+A7P
mOezWpiTUa/NIgJSKJyw+iiDiaFHvwwdNF8s7VHFjOXcnohH9fOtb8NQS9HbwcXHrNzsOePs4WBF
EFghR/gtpyNg+ScI6jP1s1c74V3Y9EV3PxJi2qOD1AvsBRs5BKOLDs1L2yO134PpB/qJP6oAv0W6
E6zHwJafg5LB7roSMe2ujiI/gIxXcBj7EZTB2e6RnQ/QB24Dx/L0rkD0cJOmbPoP2sY56UCfDkGf
HgsSnaqFFTxn6dSDhxbl+NuDiLAcabuaaW8x5pUn6PIUmqpI5Q6qe8ZGSuL0ri/FCDsVjvwn1FOw
v9inZfZE8en/gvKYohvWYV+vkXQ5dKwYhEafVB2FP+AZ6XlXYeXp0UmQzYdiy9XOrs7/tJ045RG6
jrbW/HLGqhlX8GmTOzCiJj6R9JAP+HGl7e/JiUC5AYPg/deYBrKB6oK3HVO4Lzvb66vlVPIph5vM
jePHOMwTFBqaT/kLt3OBFgBmQHgXwZY2J4jlsdz0KXJUyJKMcTfB3NU3eSaTYA2CZ77WmE6le7SD
VDJ9nibVUTcijU7CiUvSNQmGQKDDiAn3zBA8cBUGzL3XTea21dexTPnKHCfB1BK7NGIQvMLuui1o
t8keIOritq+mGXXK7FThA9FxJbfukE1bhgBusM2TEYi7sqT5XITwm/il8xjc8ZFBsTg3cx/t0BX9
IVsMlUugDUeE8hAqKcS+ZtOKlqvfl1WpbvtJIzvQwAAcvmLUd2Oqlue48eDLtYDy/jqXAVM3P7Xp
aZxkmB9z1uGpoFSI+YAJEOaB6CJe29AHvK0keWPc5hJd4LYQLghFGYLrrfoGptVahY6b7qHjpGbn
xCZ395PFsBRPrqLZ2yaGXlu3s4wPrgpi0n/jSJ75Y17y0HVjUMJxS1X1sORNXHzg+y3VMRDWOB0R
UgAXZ27/EGmUtOuyigYIozxEanHsqxy7Ev0dDkGTOflVU9yHM4L2oz/jOgL9hXBjJtyzgf0SJL8X
lK7NkfEm7ROQlB/bj7nlmWqFxVrqstuSJdvkXeSVm4Yx6s82Z5S/1a1VNuuaHF20QdkSfmjRBUw/
6k4yI4up2NJtADlE7auBadehGhpN5Ug8wm/JFYnGQ5PPtLGVkxT7oXeH8bETZaoQ92XzFz3i488S
ZEIjWJDNjSmn0N7bHbzXVb+EjCewfOBgL0L0iuBQNTdPnkKFWU2pEvyhQcLcA3Aug65sW+ofP9Jh
sw6dKYrXpplrsc2xtD5OPsfnGrYlNqfe4qiG+2tq2s/tEC6KORXpSiVFE6V1E/bz5zYNzIeQEY+g
dIDSv7GJGk/WAmISfOcyQvZcYN+MqiPz2nHlBbr+wSiEsb1f+JIe1o2gGvJwYjAL6sL0AJlcpFtH
6gWoRvVuzBQMUfEW+5xQ70QD+H+codIAWhXQTynBUrsFDIRet6n1GFvrJG252wKcH90jcd21OXhT
bv5h5oAYCzgoCbdyqie5Xcp8/sxXzDgRMea8MmIuxV4WeNFiqDC4n2r4h+Vt6Y9zdwprb/jCB35O
6Bv6cJv7ZfmP7OT8G7pujIKstmY4YYbiWfUwPrk0DPqnKgFvt/2yY+KNqM7fW1O7NOspDIJl20hJ
/8R2fyzhSP1miO5v4ACetUgg083zMg9Lwh+nqIVH2g2kJUNYPzCkqikPJzgvRyr30VCXN41ZlcHC
qSd9LB7WSG+KckuIhwf/peY02kwRtvAritr56+B73UdZi/bblOv5kGFTFJ9qcOobjVPaWcQ6Ir7J
CFKBx6vx/wfTCpLbGg7csxM1pqC0LEUFDZuDmy2v62mLp1UAokncij6Y0TLpZpYR0iB/xHkjMpAd
9hVEPywdrNrASDBh8UhQWP0Nu9voKZ5T65voCwY7ueY2ucUbK5NbgMrBW0N8N7c6mRCSkLjjQoSy
CfWTqYYgkQfOeDgPQRntQboHV4dhd9e6U/XTJv543PaTixEBhgpoxrUpQ7WfyO/wQQShHD11s/Jp
8Lh7iD3X/pcWLl6MbiboFTZDgffJg82cMKJxpk86X+qvyk2JnZKijH50nHrTNgN//llbML5WkIzD
aY8rvf2DLYFzKG2KTV+kx+kBgwn37Ji3eC45Ik2ablu/b9tHcl4aSNVyEb9UvRR0I8zhik2pcdPe
hIuuPsa4/8htXfXhY4yF1D9c5lptrD6bHRppIWHWFln2s2BSN0FBrzV9zTK6sOxkykirGUroRIuk
mF8qNKtwY03qHbRDc7aO4N0DHjl4MK9Ugz/F2hEREw13Cn08KmLsjDoGNP0+Dcsh4Jof1bOxxYi+
RebeQ6hDeiGR+PJ5CLTj7PtSTx+SOAuzGwVx5bfSQ/zcWhXfcs639QciXfoNjne5XmONFH3RZZkM
hzpe0GvoUPsHy5fOeI8+jJyvwZ96+JROLOeTUbBOKR4H0JAyJcN0lXaT+jaPEzSBqfe7YJ8ylr4R
iPbiXUV6ik1p1J5hYwSR7n6xlvm2r7uxPzpI8PyNSmlaURyOvr5hStrmfIQ1f4XVlwDR6DSTlBko
nhIbT3RJdV+EARYX7F77c8ppUeyhbJH1ZMl0bp9S1SePaTsvvwRqh+MkUFWe5+QzcsShrMMdrDxv
QZxkAKz9QPnO2q2oAo6Fql0bKoqF55wbR2m49/BmYCjvuWW4mVzqyz2IfCS+T+00firdwWp3iBrV
3dKFebNXWEJ8i3s6C+DVKn+C0FmMq9HjwbENcCpYc2PitjEGankqs96bVwAJM+zdxsKHLRQKNktv
zbQ8dPtzeAjBKLeOPTHhT+JcuBQuQ/1P5xiahA5qQbfqRjW5dDtL8CHvc2ntJAKCX3aWSXV0R0f+
2y+VlwOtKPsxWNIcyn1p+udzhDRkEYT/lApu4XunBaIlUe+4hjwUeFdBZWaY1J/mavCWHWLz4tEA
gHNr4ED6Y0RAD2huvPaHr/LIOvbAax9r9AnJCkl0fN/BIk6YAVXuowAKZ5fNklmAM5dxcIf+MEbn
mTb+QyuybNqjyySE1zlPZGDQ1B8t0QFM2YXjR1uvy2o+H6vp+gd/DKdwO48ZUWItzu/lgeOJisvP
BYG+bMeM6KDJpBn7SeMlEhdwR6KQ6RgnUWfkvnJcD/7OH4QoPytDwTa4ptYz+u4br5wGdlwOi4nC
KWISg4dLDzVQMLP6mTaR/5BwveEOw0XyXSHvak5xFITO1po0+AOAxCi3Go+ReIP0Vj85wSKgvMsq
yomraPRjF9Wc8m1PkWflNepYLHHg7QFcMJBbMU8I5WZJgwp8zan0zmYuBcepiKS37pm9gD/advlE
kUYhN5a2QOrWckztF0/OD5ngDF0NM2O00UvicwndgDcvg0pAxso4WscTPODVEBCmdCMrO2vPchRK
yZ/0NFrjCOI5Dzxn7hLPs0kMQ08/f3Dx4/oalHWL+UIk4eEvMSfIDteurjnZdDBP4ahTZPheFUMR
QlA1rMoEOvodsANAWFi27pfApMFjFy7Bnc2kJrhxS7XoNZ4b1rj1/VHkq2UWar6pQhf/tKmz89+k
D1bfrKgPvsyQR5djiiPXb4YfMYFmBRSIFajigCt4HYGNicDPb7GH5tCV7hD9xM8o0ntM5QhLnOds
VrQ/2CIcLV3VD0FUCxB4ReO19RpGfbyGqEDH5KlAHrQFiR49vlpgMzZ1wwyiNGLjFnm9Tgkb9A6M
xRhVwI5Jgo27aAN5DaYz2Rtp1hdPaB76xznphw8yL1uOaQjtLWz8aPrauOf+BP3IcMKLAdqYSXM9
3nDGBfZHdiNCCjXLYoCy5nliGwaAJQhB4a+taEzPxvt2N94EZoIr6VkebpkM7/K1MqGww1VKxNK/
NRP2M2UNpfEK0H741gsDA5w+pXmKugrKPm44NyUsKW8bzIzg8G0K0aMFMoz/CeteTBso41i/nD0z
nNUC5SPYeeAuHYYB0v/qBU70Bav28mM6xXw4sVt0h1mVts0YJnJvEOiEziph02D9T72TbL1U4iox
x7a/L/1E3jKV7QrSuIG5H4o+g5MDUO196nwztKuqlw0fAvSfADgh5MZ0KR/b+yWIa38VYlblrVtR
nFXcIXXN1gpF8qzapF52NYOW/pE/dXpquJww5rdqHwRVebLbLsgN4FNydykel8eEM3eX9guWT0x/
ssxUv1p/0M1KhMpwVWQ9yg1IHHBG3KaDCRiewxHWiQzyeN/YE0wfTHGI7gANku29s/jxJ6B+5d2z
ETM8Qx3VB1tRe9xpgP+MzsMetjWgpVeHWzsdcYThXx3qLfbH+BYkesEKDz0jJv88WzRXwEcAr1g7
6GTTDGOX7FosbSMarGi4d5zBPpsImOhuWaRlPoaBO3/Kzx8j8ERCl1uVvvpkwwDB3sCr0puwMZnE
YcdvnweGntM+R2N/n3MhEKdWEAsbMnYquRr68XuHNfS/OCa4t66Vu1gbaROYdehCoj6hZLNxcK7K
6Yg7kXdqGiIXVwhbYEUsVFbsV/p877sAEP0qYGhSNsE5AtBEvqk/KieT1XZoBoXTDRfyukVkdMSI
Yqj3/LMoXbXjhPgmc1RlbyTKonxn3H7+nukRZHsZIj/cOHTA+XdAWbNF4nuGdGRD3Ux7Z8kDhML+
NMgBHMkytUddoj3/B9MzJ0OEL6Lz/YA7NHqJbJSfcGKzP06tk/2y2Cff2nwq7yI3nM+ykYAT1Avm
4hdCffusUBbAZT4mdv9GuUWYHfMXNa1m7q8bn50+32Runj1aaZJ66wVecLLyNFSDZ5wxQtRu5BCj
TsOeGdx+oVPknmHYvOmmanyakmTpnkrGdeim/Kb7koNJQg0lB/YZhsVo9tDHZA0LqOCkJBRSe6u6
pvE8jHZptd8ZjNvF2hnjuroF1yhPJfXVsm+gxTjbyA4tJA1QuDDpyafoA3WI812EAdVnsUAbgbPd
wYFb7KTusNMh+WFVM1cqgZVlleyXxZ9RlBUZxXOlbJ89FxUuZTIH4LTLaeE4BcpWVA/QXNN7xDRN
cjtWmQcVyM4hXaWhLGALJ2649cCSK0rI4TwHrXFh/IALGtJ1T8SmOMKSUXINLyv4gQNXmDxWvdck
O6IwnGLbOP4IKdM49T0BznW9ErHNX43QxnFOjoH+DUvbZPtM5Fl0AiAtqduIJxpgZbWz/dyZyvqH
brzg6Y6l/jCr3IV6OSeNWmEb2ccfa6hfOxlOc7/NnImOf3GGFgKsDModrLrkUeB0hFVUWVbLfVzX
kthZpDYEwMG+DfP7/4EZqKwu7sajMkN0wp6z0neDEwf+atHzJDb/4wSycSHF5sclGEjKEnlRFVju
uEW2HXEFnnaw0O2S/9QCKaFMqvlQNXOht1nPjTX3vDiEE+l4xd3zDSNRRYGDvSburvQo53/+d/qL
cGcGPVV/xDDaXguvlPBC4O869JnXzKHPRpsXnpCYhICxKqwo+f+F52VydgtF0dMfe2wSNgGmR9tY
OeZ+xhxmDUKkv1vBQj/hUwcy04Z7VlKNIwRM5BX3zbeMIrUkOp6xkCaW6cIS1GJLA5fZ/bHVS7fr
8cPEJjse9u+bbr7hgak05nDGkedUB3lhummFwLgzbcixD5qPvMDwq4Rhfp4tWkfwA5qoOkOQ/f6i
4s2njAG+gM9MeNBlpkmBBHIMAB2P4zCIR2gMZu86wlq7DGR2VF04F8Gv2eatWjbVmNYrwk39dTWW
10J539pa2Hb9vz/k7En619bCbanRjeIhD3mO+x40K2NEfINcdLh9/ze/+TqhaxAIdTZ2f+XwqiaV
abfpj4r58V4a6d0rbOOueFa/uYp2NU9LSohtF69zgJ/SCxiiR4d0VtAp1zuUY+Nt3/8tb26av1a5
cMaWXahgYU39sUIUfSShItwapkNfceIqTkkDkZKab7jyPbzxqoj8sQkxFbYmV/jipxEg7wM0uv1R
44e49aq5u+/TMcC8Ddnf+7/vjacIFxRWjYKuhFv9hQF6j9kSfJCkPxJU56Cf7ZTZQZVkeP5f13HY
DbYk/UbgIn152EQFxzkkFnZf0sr7cnGgii5TeGVPvPbVZRXKSOlqNJKvHGcxa4QX7rHzAuwWd6as
nc+BP1nTaYkT5wgOGDhXotnP7//lIUoeFZGSnF0aA/nLve4QdaLxI2qPlAj9l8ijzbCSLN1OhQqx
VD57/aeqxP0tcJwrxrd/8gMu1tZ4B/sKz3HXEItz8UUzdUEIFi/HbrCUOKYQfbFeci2fBrgqnPI4
aHiHx6anHjswFVA1bYrwTn2POmGX2n5NXxWgKWZGj2+Ll+k5XyOJCLxDgZwWEkGODyiTVuOHp1x7
TOEr6N2rDEl+viUOCoZsjucJTMFscT/pZpHVlePz9fbE5ZqLwYUx45JdcxE1L/ysjOPYmY+RSdUn
jKLgMSyR/eH9zfn6ezuvct4vnNCEI118b01qpS4zjZlRFTYDkTV2iAsj5zhWS7t/f6k3f5CvfOO7
WChiy/TyndlIVRcTapYiL3ubuiCzZ+rgla/6rR9EyAUJclK5CqD95SoYSPlN47uEDEImWs+th/XB
QlOHZuFa2uAbHwDIpg22Stejmcq9XApuc4Fu0UzHkAapXGX5iD9UP54tjTAwdKJbbFajH6PfQ7t1
MmuOrhws5//+xUdgWF64Gskqc4GLAww0Ncl7t56OwCUWEGLOvLYcoemBONzUtZ1slCyvhZC/8XwN
CKBHUhnHDMnNL390FVRxortmPiZWTKSHGrOtbvpxK7G9+e+vkqXOOQkuCR4ESb5cKlQJJvIpezNx
p2fXmXrUXcx6lXTzKyu9+ST/Wuli03S1hYVMn8/HjiL0Ce6Wui/8ckYa4wzHGpcTZrJG7d7/Ht5c
1GeaKAnSsak4Xv489HA00AZBRwt54ydfTPgrr2heTOGIu1z0zo+ZyevP9xd96/W53HkuD9U19qVf
OLK1kKFOOh5DNC6nOkdjZbkoHoComysP9a2ljHJcuHi+cHAkfPn78J6mRR2r6Ti6mIKPbo34KB7+
7afRv3ITXa5EYg9HlzxffjxKdRkc2bm9SE2XgNvmns2jm/MK3auGoJq3jXPlCV5+9X8W44QByTF8
APZFMYkzsFnsnMX4Y7DckYgL9sqzYbYGTeTCn0ISNsHf2Yy6bq/ce5eXPGuTko05B5ZKNnfCxSON
qiwUGVP/k0rF2cXD+iedMv833JGIu6kfmisnzOWRfbme8/IVNvh+w0bv8T5C1ZpBu+vmn/7iJJv3
N+Wby2B0xbfgcoyqi2XoWPKcsX56gq9j3VlA1yd28Lf3F/lzYf59XP75MZxbxNFyo7ItX/4Y3iZk
IZrcE/fbMBzcCA/KzWwlaqMgnIqNpRDuQbvoFWLlpkPeEFMMMtZPFPLl9/+YN3YskZY+WcZcHgS3
XmwiG6x6Hvs+PdVl/l0yhDjMBmE9fJXyShLBmyvhseoa7ESlfVkp2YHbyKTrMkqfvPzSlXhtJAVW
HCvw6OX/sBYvUQsSbmi2vIsnPOQkW/ZZnZ3gNCwfK9zRH8h1C5hLX88COW/1y7cppHHpFdT5y78o
j5bShV2AheTJa92+2iLdR3ibVuXPxgaAmhIR7ATWxXuY5zHjdukNRzi0vViNCpvs//42qdPoJMQ5
Ssi/gBPmtqmMJbz05Kgo/No3s1h7Y9mcsiyct/8/S2Fk8XITl2gcBgaj6Qlvt3hd9n0NKbTO7y2Z
T1f26OX9dP5eziW2T4oMrGL3Yo+2soutFrHTKUpFuVY6kgfys+KjP3XpHqCb5Ogo/M8HjrZhuTNB
calFhXc+Kf7q1CcoXR1KgvwUTcF8C3rmfcpQ6/lXftrrc5Rl2Iykg4EA+f7FMgintbdQPZ2GAeJB
TIDDXYvnyZlQrm5jnPX+D+vBT4Fdz9EjkUG//FkOYh7G+UvOpA7NPg4LwZ0Dg+zekRAlJyqbK1fv
6wMVdEs71ISew3GnL9YryINApT7kmDEAePeWSPEEwnT5v+5FqIBUv4ID2vFeHduo1VWLd092OjcL
v+q8hjPaRxO0y/TKBf/6zmUlVCs+d570uU1fPj9aFMYSUZWfyLyqfoEFw3nSne3hNDppmDNpevS8
efoSG5vZ1vu/8q1nyZq2g36BOLk/oUR/bcn2LLwJ0PmfSq/Ux3aaxG08IQZ+f5W3duRfqzgXv9AN
Iny9nYId6XX2Y4hd8q6K5nnHJOGbBdS8/+/LATiSJSt8j+Pz4qTGLiBZSA9DezhX3boYLRyFhSXD
mxim0r7l3/nw/oJvvUGXkhMQzj2HVF58caqVIhixkzg1Av4+5t7y2SyWf5B86B+tECl12aKVGSrM
rq+8QPH6CtRcf9i3eD7b1REXP3YiprOHPZyfMPbEpp/RKLUMTLpaQB6Jik8VeQScojZMEwQHJ2iu
1m29LPg3oc39Sj2nfkgnY7ps4PnlK0sEw5X9LRw28MvbjD/RR2lCK+6Rm33+539tMoSsHiMENztV
hBY8hWmZ7uhXg0+I+BAgxuFywIoO/U52dunDgQM2MyyucGjNXVbq6MpmfBW0xdbgS6N0d3wAY8e+
+HM8OwmHuBuKE0Fi+JpDFQiI9WKGehrzs/lKH3k4ZPiMRucdFGdkcWaycPmIhczMuoQExlg5aJRZ
E6s8L5tQdFH8mCRNq9EnJihOYE4V1SaOjBWup67Bfub9/Xa+ci8fKFUeNQhHAgqHi8sLl3UIbLBC
Tr4TYNCEZ9SuH2f8tHrTkNScVXtEXjgXVmNBxGETH95f/o3P2XMFPptkTsvXHYmrNYr/yClOZmis
h9Eeup2AN7YHafHXrsFk5v313ihu+ZjJW/doTDxSfy/ODz4uqwhDJz/VkOeOc90YEgfkVxdmWw1H
fVmqFUSTmUAm3GTv69rLv8DWna78Ga+euseF43E6KAKAX9+rJaNQGEP4c9WZ91w3bk68ALSHArMJ
rHObHGFvs0AXwzEJx3/v+P5DeFWweNzphskR16w5H9cvPyJ+mDJNNinS28toW7aheUD5NdwxdGJG
6FTkdi/4y7y/6J/T48VOw41DgsFzQWkyY72Lnmwy/mISO/GPvlsggMFeFY3QWVac3rje5H+xksSc
5JL1kAgbUz8OfWWrVZ73RKqkvRs+gLPY1gElI66xC4PKjwWb995WU3JC277cUD041/qPV/uTP5qw
Pu17ZHACB1w8KtIrpgkXBXPEqvcrjAJMdDR+3q3nuOuudesrVesby1EXKxBwsnuZBF18jXGI5VRk
j/5RLcX0FGiEyHktifqeQ+unqZtP77+T1xtBEpRO+aq4aLxXfYhBpTi4U+sfscaROHKlQY+uCMtV
zL2IIPOaA/SG7sqV+uqW8SSfIDUCfSxDmcsvEO+EeqA38hERZfPRuDWO9XMKx3fEzef93/eqJGEp
5uuCIMxzjOBl9zj0ML2R6rPlFFLLDbqzKCR6wQ7+eX+d168NKpfHiMQ4NI4ML15+UIPH1xSgOzqi
xDWbxM2so+6hT2KOHu+6CoL4++u9Pj4YZhHWBzbF8UFD9XK9zhlNnTutOXp92Hzw07I71J5dHEKv
Kk9igp1mQQ69NxNED6K+rCun1+ttA85Is8MM2uH0vmx4MNb17aUT+phLO3hoAhLINKUDq3qwSdCm
cCljjBZu3v/VrzcOyxrb4bKgQHpVrPdM7MPUc9Ux0hby3XpAjwuBdocoPLmycd54oQCqFGGAR1q9
gh1CdBooyAaLz97+jFUVOH9sa4RwuiB4Z8q+vP/L3ljOcR1XutQShi//oowoQ5GXgFl8EqpB3mhP
Q/sNFm58P5U5ArhxHq/UUW8uCFIqjK0VgPjFBpoxrR5BAvyjGQvzEZqHvcL1SjxrgcgOQtfv93/f
GxvGYbueW3+ONfbNy/3aZ5FFryr8IzZbwR2E0Oh+TnvxIC0Nd5b4meNiy373/qLn3/DyvuGRagSa
YO9U75elYk+jrs3S+McO7/hwH+JBV2F/H+l2tQi8mo9lO1lMtArxo8wbUsPeX/712cPy4NXkd8K1
e9X0RRCGR6U4yiFUid2MzfQBtVl/BUl6axX+64w1uMf5GM8v+u96OJGyDzrjH+umdr/WTNpO2Df9
Z9zRYxCFR5GntER9dwmnEjUBqZ1x10lD5ty2VotJQoXTyftP7I3v+8UqF1+BgYUfjqjaTmL2223t
k+NQBtJegTpcu9bfeGyMg9iT3Am8ncsDOyzZ9ji4hSfd4bwncDM4yt4EVw6sN1fh1WDR5IB/Oxcv
Z4pwYIQczWNr8uUopnQ8eSERrv/9sXlcBIaSklvusmMUoRBEUHTYECTFF/IDMoSOWCDXWo1XVqID
ff1NSeAgrjrf51y8HE06eT06U1wkJzgq+kHDzn8epKUeyEjEnqaXaHw2cRFD7B1LLN83YYwJ1Zdi
8PrHFOmPOpVzhGERHinxASY9IQYuoORDRFrA79QJ0YnxSU/FujETvj5QjSDyR0lv/7LLSOFsJyLn
SXeaFJQCWI8MiWRw7yKTI8EnmCtReB9bJdxgK8Z+AWPbeO138eDsMtHVzieK8txeeWG7DGRS+uRO
KiQoyabEyCJcL3D2i9WMBu5RLQga6XksneES6HKzMZs0/7gII6pNNiPiW6XN5D6auac3askyWVbR
WC8zauoFanqLBQ0ts7F/4JqW/I4iqT84CBQC5BuJH6GkF9W/bpMVT1mG2nlPhIz94CJPJZ1CoWJf
2T1SnPVQ+vXXxCoQ1zN089ej5+VmgyNQMMLA1tEnkrUXXPggc29lQLTSIegndVczUeoIU4gbTALw
EnlOOnO290eJTBpqlFp4u8gJ1QryAWuXiri+zacRVe3IkPt7HCBMh7zcnGO5WtH4u66BQ4iw2SJT
KouhL5GEOOEW0zte/VCUBINsgqkjUszNcnRjSxvm/yxRi2lQ5eka+UYUAgZgmVmT89kZGHwpnOVN
HBvdr5OS/8H396oH2yE8dFMHlY/akrLN5iUpCwSi4wK+nxvS6pgVzfIGZ4ypubOcfG4/YGdo/1uU
i5B4vgiyvQZiOupHh4BahJslLhkhmJVFHlnd/Kp4zwOeuCR4opUs8LJ1SQT5sOhpxDCR5JoGewyn
/r0sJouODUvyKhwyzFdebBL/ER2NYz/g4Qo0Q2PS3nLWduGBECWsiVAV6B8W5HTocMmQJ09BGMXl
/fsf++sjhfOKAGMN+C60uGzXscrrALUX+8jF7n0bwqD7wq1yLYD71SrQRQx1FriosJnZn//5X7cK
eYMEapGCeyJWIL1Pstl8R5DsX6li31zFlVAqKJ7peC6Ox3xIrYA4x/Q0cPQSA9z0mJH52eG/PrE/
0IKheYMg4l+WOiquhT07Oj7NXTjeCNkGW6IPmyst9Vt3Fy48tBoOpal7CVzP3FsTHJHoFPcjepIx
W7Yy7WGDB+Nwpa55aymQeKAaQdSZpy9qtyhb8F5FJ3ZCWIKjHL3aduridE/f2F5h6b2xFEUpLAaw
rTcmG7bTlohTausYQKxdE7eQ76pahbeyQxH/30tuKFIuQBpoFJD8xZ7rPFU6piaol2FHv1WznW4J
hspwhQiz21FAS7my4KvtR7UEWs27YkVmUhdFaYZXt1MORXBEboAbUVvUm5qD6Uql/aeUuChDaegp
Nj1SDs/0oZffUhc1OlNYPEKPwKEUT0R/DfGGENSRrAs1Ou4vb2jSg5phpeTqfzk7rx5JjbWPfyKk
IsNtQ8dJO7N5b9BGcs58+vNjL953B1qNxrYsW/bRqa6iwhP+wc/v0Gj4weFMoDAa2akvlNbB07Hb
OBZXQnLq1rJBcQNo2CpwpKeUqBhVWefaKDp8Ouzga6KUYt9A9PymjYZ+JILN3751GdQi+8fsnVRn
EeF5XOG4Z0fWuaXK7HqhXKIF5AMLaCVz46KcL4/Xy04Re26EEMTQYV1eYeNkVXmqF8oZeV2w84E/
eOGnShTqCepkHX7Pe++tiB/0qSnYm8AqSHNAGC7uMz/TEL+uO/mMoYvlVlVY7T2l1vcoZGxd0Iqy
ausyCMkUf86TNJfZTdEW5WiV9JRg7+DTVIaDcVCEj8AyrgY4vmOhZ/6JsRbihU+aCINiLTUt/I29
IsI9rzM/KrTzfJfiX+i5Q+9jXgk4eeCdzU2cSFQF9G8AaR+jtzxXnsIwgm0UEIdlLmwMLT5Ida+/
sxHdjo84ojffIC3Wv6Ghp590e8Tnx6Y6b5+Fj6bMvcqVhVQHzWgeVHtQfhlNpdcHCwb2FzOXkRqA
9libezSwhq+ZZvkhmOCkng4N5izIACMtugN9p5tnsioMvLHXGy3X6AxVQMiqCVV8s680V9eS0HYE
ejON09aN8Pbo1jYD0H0t/ZbaaMECVUpLCJ8K3R43hGeIa4ZmV+/rusMsq2ks4AxDH+GPk3stxYXR
Qu3Qyc0ODgVhVQ520zaAhGsIdMpwwHMjdwoI0bCOYjX6oYcVuiJEAfFPn26YdoCdaX+RCgt5Y9vP
krtatr3qWBHpIBynIeh5aEet+RGnspccWn1oXuS4aCPIPWGOfpM6jAkU51a976epnyAC2ght2LFk
dZCjVeuL3ocGcSzSY4mT2vF0FwgYl66Vzf2qDk0hHEhbL//VeFA8kaTXohS6o4fCSyLU4t6yk7hz
MuR/caJEM/H3BMfrW9wg/G2MpEl7JfGHemeakV+eUAcQJwhGCKS1dgoGpM+kX4oBy9CSK/0bdGDp
FHdK8qOt6vJLldUNgvTdSwfZo0WS4pR4qv1+jNUxQrWJ+HQ/34bg1GAZZ7jmRd1vPnr5EGF4IL8T
yWTMyqVdmzxPGV2WA16ToFHx3xk/dOHQIniCnD4mDmOo7jUvbXCfL0L7CUUGqXRrFoYeioFGUmop
UXBGHsnD60VVi29JEjOsBs0c8X97EvHJxG/zdz4UdumSNSK61AVEPm7STumzP8S6dyiFj4WG0mjI
dmY1Xh+wAkDZIS4go3/nwcvs3ElFHPpe+CQOKCxAAXN74cGOCKMQTfUBM7ST0SWTfaI1YcfnAdXS
JyS+NE6D0b9MyKk/oC4i3uPE2qBy4TcIIqadkXykB5eMfE2sqPdlY1n+sTbV+ptPHzbfFVk5dd99
ZeqRzbJLmcwjHvXyGIR2/iGF/Ii3VoMSsxNAn+tdhAPT0xDKReVyCSsvjRzo06ONtsLXKjfsHyY+
FdLdMHWiuQsCn/RCQm/7DtXDwEIhM+qB+wyITqJjbzVPVazCCK6L3pCOowSZ06l1z/5oRPrQvzdr
RNKxW2WHcz655J9yQojmvYx2Zf08KRnGyW1CbnvhqygfvGZqPnsB/Y6jlk3FhyKvysm9HQ2unj0i
2xlNRKsO+M0qGsS/wdLweKLhX4bO4A3JXpFbbZ+EledOE/zdLrc2Hr2rQ3KbYEhtUNLXFo+emdMb
BMOQXqy07w9NiB95UVeBS32iOpuTGbqdFo0bqfoquJnnCRMZEBywn1XUMVOm+wn3SJq0tfepVWLt
meQu2FjNVXz4dxTYGTDJKAstq0/drB5VoXh5gf+ER3Xkyw5MlfKl1fItZs4cJr16z/8ORYFVERRI
QXu/DqNId6iDwxLHJCTG/K5voV0myPqxsySU/xsTcSn46skhho335T9smr8tK/riVD8WY2Pq3dtQ
d+nJx4Hp1EVjUl/X0K+YteYQv4klhG1y8e32qFcWd2ZdgBmh7yaoJL6ecZqi+Iz3RHKRitC6x0sH
TyZTir5NGbzItw9Fj4QPaAO7IYp5PVQgWdiAz4s7TVqMgVVcH2U1zdwWK+i3FiwpA8sExHSb5pB4
2XtUIUNoiDIBAcvkp5DI964qkRm9PZ9V8EdwBJxnPnQwVyjAvZ6PgY4QcmBYiemKCWfWx6N0b6Ga
fAgx9trZpPIbucT6W1FghuIBvWOmCCy/VS+CSQ+aLL74ETuikYR6F8NZxjvVqzYW8Mrc5lyZxSO0
hfew2IxwAqRcrUR8Sf0yPZUYY+3xDmvQKhQFvN94s2+7qvnNxXMuLjJokk19CToFXaEbTdjHFyTh
khHLxaKX3FhRk2dkmafqtyIjtrALkB6hLRsH47tsGPznLhhltDrHCGqqzuY6tWbVTBtX6zzX15cC
VzjUD84mvCRzeSl4GrQuGMDxRcIWChNa2XtGSKt9ub2bro8CQnvm8NC/WJwOW60oh8R4PdetUriS
j2krEUv36/Yo6y3EwZhxW0DtYMYv81+9KeDxCACLch2gk1ZAiNUTZN6adqie3j6UDdocPhcYCNAf
r48H1um0z5MhvniNEj2MQ6I/e+nUD+goD324cTTWq8djC0aRxijAixXApBKJavt9GoH5nGVl1CBE
9KRq9m+eEu+PblGvAvhN4Pt6SqOBzSpV/OiSJ9I3JI9Td5BS6Fxt0G/shvV3kmmX0xmk/aqyKebz
+U9trGtLvS3gs1Cryqd7SGS/4ERlboZk0NvnJDQE8uf3m/bV8qrUon6qu8CMLyp2zbsuo0I7paW0
U4JiCxazaijPm5vJUIwDkbzCeTZguoRW+ryuuWhPfluZX209kA+JpFif89wwPjLl7lzgcYIEMTC0
jWz9LwXn9UnmBwBYpFZHQxtu82JVO9y484IXaGzMEsGDLDTsnVoKu9ib0Cq9HQZLsvlcoQT422qw
r3Qbm26Dk2We+TFNYkT9iyYwTFR5JAQ83ry5BL0V8DpcAAoE4dc/brBrdCMQPr1ofiRfisnQjhTk
pWM+kIreHupasEh5RKEpqxDkLL95mbYjYR0fAu93uL8o5TwamYG7ew8EZBd4dAHyetqCZFz7/ABG
QZ7M/dIVha5B4TCnH5tcNEnS99XocZP3pXFUycePDV25jzItDifug6McTBvR1fpBI6RTVJbVAGa8
usRN7OeCEoH4Synp+UdZQQvej1DxgKYVx7scSdSNqua1NQbNjDgn8BPqf/Nq/HOCRR8IrNvhNwz4
lnxCv0tySoMtFmMB+4CO8jTXPYq3h1ji/wcloHs9KFryXJHIe10mFH6Pelsld32Ju0lRmvLx9h66
cuMCeQAeOV+82ir6AQNctlZpUVcf0MMX1HafhBdvPSLziVyeWApCuOtBW1dWUCU1aDFa9JgQDTLl
pYioDdednjmt1GnyLh9S4xgF/RdJrrf6Bld2q4J2OsATJscHXLzHZgmSskRv61LGSvfDV+m5MV6F
DwASWGi1jODgy+ciM82f6piJ6i4ZumgLGHxlkRWYKdTGoaSBElk8A3KHqG2fZv4lQf4X3CY2dpqU
h+6bPyVUlBlYxAUkr+LKZsoHIl1q/VHUYa7ZD4GO02mBDM5/GIcyIkIGNpJgy+cTRMbQGCL1L/UU
yujFJf5TYjfKxihXtgyARxlXBEj/a8qpDD9X6VNJQkUuzRx6tAj79PJEzahUHq0CTVnUNgB1gxx7
e8RDdmj8ZdwAxVg+2ngAiw5fI9ozKKkgfiWh90NG6bY+TmdvXkpKslxp6vxmrBDKvtr1Cpc3HoaW
LL2relP+Djku2hjlyh1GFYOfyFA0A5cx6RQicikh6H/JLSPoEC/yld86krOoOg5JZR0grEAozHHI
izZyq3X8A1BpZmPR5wIitcSeJVlX5ei6oEXfUy2zg7hyw3EqENiWgvPtpbw6lGZxucD8BD+0OGO9
XIcJOLbg4hdhjnpRg74IQq/hQfKyLZL+tbF4EOamGrCvVT0dTWy0xT3Tv+iFj2Y1b5JxGjsfm7A4
zBDeevvMaLqQToFBRm9kEVH0FXYs6JKFl7jkcTdLvEpwndUR95G2Gj1XLioIrLoJVg+yNxCz1w+P
pcgYqygTuXDm+Q+UF8ejpPZ/bs9nDauGvwqQmYgFUA3No8WEcrvSe4OoDa3XoNgjMVk99wg/OVmF
yN4QNaVLrxcPwgg3Ki/s9eOQ4Yl7+0dc+4S6zFbhMQKlsmzoBaHZRsIjMu+R8jwniLQe1V7IKN7X
48YhuLaonO5Zv0TmAVjtTCnE8TVL+X5J0JysIRqPQ2xtCWJcXVVdnYnz9LIsBlp8O9mgAwqD4IIE
Mx60uWIecgyudmaWR04rWrQpkzyZpVFx7Bvb9BkTkTeTl/iyNLahnPIIkSMs9g+y0h1makUIlTbP
DyEFEACXqH4Bekk2VvXaBySP5+4UaA6ttmog6V3R1pV/Abhafa/bEZXDYai+jfj7uW/fK7PhF5A5
cqtV9FKaaqDpVcdQoYj2SknzVx1CeNDwvt8+FJwvHlYa1wJuyiJcybLAUPF9TC+a3VbvAc6Yn1CN
MnEPMgLj5fa05o+xCMpmOAXD0UOH6r1IoyROt6llfUpBpOkOQoh2N80UbKWKpKPAruzH7fGufDHG
YzgSN5rby2MvpDbyFdGkFxTi079mPM29Sjr2DriWt7E7VtEDjWrQvwBk/zJZrfm3/BO2G9FIXQxd
tzNC3IX2flZ1sP/g1dUGR8TWkRUP0qpMuXtM2duVKkrzGx/y+g8gQyaCgd621MEp/QB/OFMaz5Kh
NdHLVEOERPK4Lh98EsdjKMLo0Yz7+mks8q0S9OrDzqhL4LoQFfkLNYvXkw9rxKqnWJ0QcM4zB1p0
iFz4YKJWm5gH0CdvfqD+7lQKz8CgqdcuyRpJDFmW60CcA63O9iFcgL1eid9N126BCleRzGKkxfEY
FAXWS6GKc4Or+r4Z7BY3pw5F/TzB0By230EfxjdH7/OgEALATFJvW8F1mmjUOi9gegp8QqcPVYtk
Kd4CBXFnLc/jPA7lIj4ejFaq+K8/W5aOfdPChjhXXZT1n4gNrfCbXeax+r0w8ym+E1qg9MeY/5Gy
a8IKsXIP0Ww05xMovXutVuzy7KthjBx7kqBBXhhjM7k4+yr4B+fppO9UGYLBjmdIm9X4iiK6i0Dc
4WNp0EdGzKcYQ7cAeFye60JLOohGKJtjJmB1vwqN0u4+gEqMkHXgTRIVRxmvzTIezM4tg1q2HbmW
gUYj2Eub31dRVb+M8qi27yQKU/KTlWnB8MGmIvwR22KENv3Eb/07vbNwqMOx3v/jGWZsulqB9K1b
tmH8gm18QKbWI2MI5DILoyPPbPEY4TSX7JPOFxMaMKHxpBl0QNAwabKfeSy0g6Z78jO0B/NdxY+/
U3obG1Q/8OEIeVVf1bTvFFtD3DuKyvvKx4MbGF4afpIb8g4nwNBsYHqN8tg38hR9qSe87namQZMV
8XfwOTsbFHjxzYogvv1oktzTduiH2cGdjgzhiHeRFH1qxjHw3LKs+/yAfqp97BR4Mz9x2Anfo0Ka
xkfDQGr6ZOEClr8TOUfmZ4Y5QcV8pcJHtsCoMXVoJoV3oEYYrO7bKNkXQ9Hm76ISf3VHDLoVflfq
JFcutQVuGNRBiBqonFYKEol61tkngjgvPHN4kSKZ8O644A7boGQfV/J4gbFgWU4WZI30xCMACBgn
XxwpIPu03lejiIxL0yiYgkn0geSdqgXRF0mvarCdhhwPH5KpUGzXwm9EffLCSCv2OW2g2DERg7Y+
9b7Z9vdT2fbGJ0OVyvw7nGJJ3ilU909qpbAV7RIbsJ0WITl6LzUeNJhhgL61myhbanfVFGrRyU/z
ajgXtcDsEoVhScZWewTHoCNUXR9QX0T/NbEqe3RFpKvF564Ozf5zrYM83yWwvL77mNfVd3mYYSTi
1wFRz8D9K04j1qMD1iQJA9qNmj/pusE1aXM8xQF/C4E6pIHa75DWZeDyIbLKpW5og48tDFmL9k2F
6fouaqhHiRwjZWcqdOUbPn0eEr248aEtnDTjM55cGPVZPg5XNnBSlX80hgfYGmOJTmcWtE4M5PGH
B7ezxCozjYq7zLKHX3ZN83kf9QWfXfe0AX/1wNShCzWIsewSDF/Dw2TYUrFPMJkwdlRs8fZrdElJ
nLqzGtmBOKr+INoW0p5eP349mJEi4JQGTZ26vlIJ8AmDFKYnOW0JOjAPQvs/LOzoU44T8p2BORwW
B5aXPAu9MfS9FemFfCFM6sZLYcthfaAn7Z25g+Meyp0dPmBcIvJjglN95eABzsEyg7E1Ma8aU/9e
yE2vnpJE9O8TZJx+6hZOxMBjUDN1Jt1owezCbcWJp5AiJCSNqo0dr0Zx9Ih5wfQwQvW7Y9VYdGT5
sXMpUT5Md6MlMnk/RTaOkUbkGS0xU1OZv1RCGlAhdYt3GO+Ch/N1pfD2jno2O/DBVnIHhSfrV4ZV
iPxzUET3aQib7J2cKPJHPag9/xgGSXju8YSU3TFvSvWubMuqOvJ/oZ47kAkYvFU6uqqoDikbdYi/
AdGrAA0Wz/yUzwGTCpFp8dpZcaGHURJaZ68J/RKDncA6aKmifddQo3sfa6P6rdD15KEq1OohDH3r
UPuK0e/MSg+++V02eHvsRRG8x7NA/n47mLsSY0DJI7OnHKsQGS9iDMkIFQtKt3k2PK902PbFYbDt
4Y4S2ngnumyLIXPl5Scm5uBRUCBUXSZRjY87XkNv+xyVlXiuMOWgA6WpycljL4PtpwXwYQSF9en2
NFe5G59AAfuBHAMedavQH8Mi9Hbj0TzbbRi69Lq7e0+I8XB7lFWRch5lTrvZcja1p0Uk3kIMamwP
jpxE/yvZUePz8KaOevUxw7T+U1UGGbTXorvHoBDsTzWVP2//gFVozg9gEFg7ChkchY3XoQcNn0hp
KlYXJ5rGrVW9x9R6GN4PVE9Pt4e6tnEQ66AmSxmf0uy84v9E5qJE+GdoFeZKC3Dn4f4NCohHAc16
+1Geee23x7s6NSqINPdJ4VbRmxLVNR4IqnmWleC75hvlZUps4yXxJrExs2t7haMK5mvWrFnJP+R0
UGOuE/Os+YHqlEkvP+pdP25kbeuDMCs90PSh+UJFbdlh90ZDKTtAUWe9lsRdFPkSpqUz0oSm8InO
XO70CrvnrYtIYYGSAtOyWcplRmFMuKjHyLqcFSyYUHfEIQLyto6febdFV11/r3koZOPYIWCNl2cB
B5DSE31lnfMxDA4IS6o7su/xmEZesHHs1h9MpWdqoo1MbweaxGIr0vsIAwI761wGJllgO0wPRL3l
xjW+3vCMQqGcuutMhFqmvVOi+m3Ua6BRMc8RiCapfgKGWjfxlpJwb0cZE+nvt38vm6xepkfHtltW
t0RUcxrwg0MdVZljKk6B7PAQS47RlP0GyGR9e8H8mEuhqLeBn17y0Ou6DhosefRzO/sf7EoNLsuJ
flUEXbP3FdMdBtV6HgwiO6x6Ax1ik5UN1cY5V9Y/gyuU+2uusdFoWW6c1DTzcERQ8NyXFl06fKH0
R2gxuuZopWJ/aEMl+hPqio7VY4lAyw4Lhaxy6qrPDGxDDHC+vUHH+oCgrJQfQT0DkewKP4oPnYWO
H823rLJcCEJF9a5PG6UloRj97L0v2ZH5gBjEiER7q81OXsjqYZ3gBXbvmJOBHsBUjaZToPXxc4KJ
rGzc3ut9TJ3DJj2lbgTmbPkWl3k3jX3A89GUWXSCuuXfTSJrNxb42voiTznT4+n8r9bXtsOusCUu
0hwx6Zd2rOKvJcyOYqcqjazuapywL1mKwcJOqcr8iOlc+fn2rv4rwfw6IKKNwUmCz6RTUFi2E0Qd
RpWH6chZ7c1McSua1Nn7Pi6q9s7KJASf6HnZqZOQIn3o6AXUeFAJvKalwgybr+AWyh6EKv5Wp7KZ
MB8TiMGWd2WEhs5+lHocj2TMKbONWtT68/BNYBXPiiXwR5bnI5lMqWDTaBQt5GkPND5FXAl8/O3F
uXJvzrtZQXmWEvPqXe2xD7Wr0NbP2Wzf3MSQ73ZFyA6f6BxPG/fLuroF2wuVTYqH8MpWhIkIM5fG
F4lBdQvVgNYexi/d1CN3ZEEoeKcRpJZOG5jiPkTvrN0Y/Mp6QmA26QyCWlVY0tcRhCo6X42NWQ/F
pGznA+dxmlHfehz+tlUWm23WfWYxEfWA7Tn/jH8ClcmHY1DRHD/DwGkeLFh/dItxX3+uFQnwF3nJ
KFFYE41SkqVzKA6piMkK4oyWCSbLwpd3hWRM3zUzhjKPO6XPKckjGQZjFDYppjxThhdJDuppb8VR
dQErKuED6eXhQ2kreILpcVt9NToiDoyqAqvtXPqV8G7qMrN/WtBULzVGu+qjnZLlk/4pUg6KPcLW
W50yZHNxoLDffNfMGLq5oDn3v2jnv16VtEs9/iWsHKutkz1O2OqJ3qa18YmvbeYZksBlTpV2RcfP
beEZ/kB2EQZYHg+NGWNbkGHShP/mxut1bTfBJLOohNOApSP0ekIwEGblRYIAWamFK0tYFwQE6+e3
n85/R1EWo2DaU2pazLIp4bT38yI9QDLqPkS4E20MdSVAJAqdMUEzkG6lyOn1YVLEfgBvSsg9Ps4j
bpXc3VhmUhu6t8va3E1RbG5EiFeiHITSOY4aWnJ0YRenxZsavMzQBDhrAY42ejL1BwF+z9GHfNhX
2DK9u72g1z4bsBxzBiDQO1/tQ1ENEMN78xyzlo9TPUB5aE1rY3NcW0v2BRAErhvSs8VutxN1dnex
TRQ9GvsrsjC+jf8ndRUM1C5F3Utn3Ki6LZHyK7sfVICG4g3CN8ggzWv9z81jUeJLKiKJczLgGxIW
kn8GwQIPyYZVcXsZr3w2bm/a5SS5tEOX2QS3e5/ZmbDPwxhk5JyxrvyUVGl4RCc6ebAtI93AIqzb
lDNkFYUXmBq8HCuUyuCXLKKaemeqv/5DiwfsL8mO1c/Up+wPQyIFbhY3XIhTbAMcTo3nMsq94XB7
2utYBi0j9L0h36LrsXq/CGbzqjJzEBEGpXUM5KP+borGoXOR+U4/BQRUNgZYAaBBW8l8gnQ5K7bA
rlfWftZTAX1F9AarefGOmUGaQtkypXMji2nc2UJKR5zGpPFPNnlcqZBo8o3b+8q7PUvjzspaKFSt
UaJ6EFTBYEsY8kzheegG412O8Z7ThWN1CgOY6pkdTLuOjOJ4e8WvnNeZ7EhGh8YSeq6LyUIZ1Avk
DqSzbjbmu97AlM3OkEq8Pcpf6Ofi0TbhfRAHs5mJEhfXUGQqFr3mmYSsD0LGtt2azp2Mdegu7u0R
9IRVi99CMuN3Udp1OGTZY/gkcC79rsiTPn1IgzjyAIenXkDWpE/DYx6mebpD9s6HESeXhuwgbgIR
EO+lUD40DTwTp5IjgRlR69sUOnGqn/Ydjmr3tZo3llu0idzvaiMBphgYo4Uz+whC/r5L6DPsurEX
OvQtX/4A5tLuT7IU5fQ2/E59qfva+1wZefiCbjLwvxif73pPKyVojmOiwIqS4wy3pn62E2/I3Sf0
h0sNmlk82xV3SGu8NxAPlUGIa2LAgx0ZHewrDLzP9DR56bIgNVwsWLMPHdEadpFWQaTReBL2Vzqi
F4VTDSkK/2bZmLWbdnaROg2edsau8WWs63T6Qy88M128s4qggjnbDiW9nHzInvU8wP4JYwecyK0s
GZR3GRILmRtoKu6rUWyNl4xk9E+qN8qf1s+VczGyxvveb+EUxkVs7wbK2bUj1LD9gd2a+qFKw/QH
LU3va1v51U8rwcjhErXR9FHOOaCuxVSrnR+01n3c6uaI+ZqUHPAeI+fzqA9B/4EvmeApEFnax1Qy
jTeDkMDEETBafxvPaNMudvnYWkhytq10VvPw8zgoBt2BSrb2mpaFGw/glUcCjyWyMfQkKQMtaTgl
bsn8DAIVkWXDM4qT+TsIOB6gNdPfeCSunF1wR4B/ADUjOrV8a2nwRR6OdNa5oWNyittmfBwj3Ldu
n90r1yH8pfk2BpRDJrtYOwOXqizvTQvFF1n6wgcs72AlitBRR7zOnSG38i1gx7WJAZw2qV+gM7XC
jI3wbyIafCToo4zhg9l1D4miZe7tiV37UsR+rJtN4kxVa/GcB71chrDuzn0tT27cpYOrtf1PVfTx
Ruh3dT7csDplThtK+/zs/RM4aAigGEbAfEy8rU+YWeKWWiBD+F/m83+jaIv5SABpsyQTFAO1OnFi
u0yONI5CpxGxfLo91LUJ8V5R9gflvwb5tIg2xjgDUseSsbyvKXf9qlHV/fHmUXh/eZfA3ABeWj7E
mClbiYQH7Nmvu3Svtvl4kPM8e/spghcheJQga64petHIbYsQpY2vTmjJZGi9Z5+wqO6bjUW7st9m
BgjRPxi+WQPv9S5oxOSlWDTQsyja9kPcRwAFFLUednTRS//tmRpFdUL+2Y0MgOJ8qv/ZcorXUX5p
SGx0QWEv0hu44nU37LAo2zKYuxK8IIqBZwmtGCLIZazqGxmRi0IvJqH8Ic1mofTHPbhW6m7MpaIB
ENBZP7IAaz2ZvPv59ia5cj3ZRGucYwqqIDUWE0WVyQNCQd0dJ2wUikYJXHUfFNqZfuX4odZUf+Mz
XpsuvEcTuizo9RVfdkqotaJByTEzk/gniCrcc7vam1zafcmjlHTDfgSF91h3lfcf8m+qK6CS6UjR
zFji+CZDytCmIbuy4BVdGqPTCXX0ynwA/qEpG/fjlUOOAxkgtLmiB8dssbI1F4g3mciAgw8z9pVq
p49Qr5ONUdanAn4zXRMaGHONdAlt7dAJMMe69s42cIcTyIZ619ZB/jSYvrbx5dbC05zzWdwHFRfg
53BVXh8KHfYxXerAO2clhR6XLH0M3LlsFFLGUK2PpBRV76CXb/Ru3aT14OSpBxdUK7QMj11NIz7c
m0NtDBt30HpPzT+MIjEAX8MCLf36h4kef5w6C+f4ZPL9A3XP+Eea+toBO2O5cCNRN5qjjH4V7pIc
j9X/MvwMpKIzwWW7PEODleNNL2TvHLatnqIx4I/drgoz2EqSX6Nm0wv1s4/ecbhv+pAU7K1HGEwl
6A3U+xHDQn/19ezzCofNrEgQ8fE1Y4evme1mouj2mWerL6kfb7XqruS6PCjk1bM8O/nusnxQVWVJ
ZzX3zqhnhE6nNSjKGWzy49hinNrKjdjrciQ7SmH17zBDxqtS64uX27O+tvFJuECQcKTXaGuIwV1d
gyA/B0OvOqM9xAcvabK9kpn6xhlbn+T5AaVkyp2Bh8hygc24RpOoz+FsDIkA1UM+bSqp+h92ET3q
WdYMvuOqJ4+lJ5zKzJpXNRoPQk7whGyyaD/EInBar0vcJO5VNzSHLdH79RvA+w3wn6PNEwNJ9fUG
CloVH/FJ8+A26oZTAqx98NsSuTshZU8SHYit13VNdeROFDS1uDHAIK66vXg0IIiuN/Z5Ah4y521p
rHybcCwqX/QOHftDlrbZZ7Np1I91h6aQYxqxaTqZZ4U5Ztd59acrUv1ZzWuqO7f31bVbbuYfz1uL
X7ei0eqxNSWiKoBkJHqcHro+jt8LI1IsfKet5nM/Crk4FLWefROS7Ws7vC+zZzU0lcrtWzOaHNjh
cDNv/6p1ZQcIKuEIpw4G8UrLoo5NqaW0Y56jULyAcr/PZaB3oV3rlxGbpz3hwS8Mu1HPx1Lny+2x
19VC1oE/yGFQBlkxI41MCVQjpVroy8ZDm8VuHFTIcZnJY4Lw4W52fdp4aa6cbdBB6LPzbFp0Q9TX
G9L3kcXDMRnNai+o9kC7un2QyOJXIY9vRzdQ2SWonFUL/r4gr4dqi1HBYoWhQjNVHFWqWtR1mmbj
812dEIoPOFFxS6+YcnGI+FNLCeYMTA9nVBI/MoykzN5PvUqycft7XRsMtD24EJR8gC0vjrM/Y6m8
gRTaNwAVgj3NXDPzdEyjva0c8MrDO/sloDxA5ZNm+fzf/wmTRW5JmSW19jnV9TY8NR1qDTtvUFEh
bYJoyB2BTZbHFrH89wJtwK3DeuXmYnzCLHIC/rYE+FD7sAixuEeEJU2uFWrTflIh2qBVlThJ348b
acG8dK/rcFxW84RNGrbmmp0RDoo8zsl8W+v9AyV87URQsdXzvDYrii0IkRCQ88AtHvSxk1JEq2iw
+xChIS35cv4eUgbXsChMr917yK1sTOzankHjG6SDPVvcLqsUPf6UteKTxZm9+lsRdXVfpJP3QCUO
Va+3b0+cogSjMbfVWRilFMEr9uh5KES/75Q6PlTUJB0RVP6bU3petdkxjfa+igrKImAVEwgYdTRU
1NJB0e+nns4HJTNd+lMEdZzub0/s2stBaRYbj/niwtRiMVxcysiT6bp6BtlZ/ulTNap24I5FvIsS
cuTjOOX58KJW/TSeY78qNLeze9G5cQw3xSnqKav3gyhEsrHiV3YtzBvyWA4Kx2RZpI68poxTf9LP
iSZVnyfhfx70THq5Pfsrg8xS/FSnuU+Bci1uHRF4qoxKgXGWC8V3ZCqFZ2kE3X97lPXRmAtaoHHA
sfM+L0PP2ivlVpuBi62VF8+S0drjzgpDA/DLFH0PR1/buEzXNxwDwuYjHqNPtmIuxRH/qZYjzJyA
Pz83hpYehtAu3udAgxAgDrovUw2R1470eqPof3Wq84NPDQ9o9vIar2WvUSPRmYDch/EIaqygmaTi
+4eoKp1INTrcXtr1B0QHBRcaXFF4CWlTv77Lx9g26PCXwHK9bkDXwZNPVdebb37aATPNxSiYgwiV
LCF3rYJKMTUi81xBaN2NQvXvs2r6YSvdlpnhlfWb5TWJH9j1dNwXG1LDuSlWehCZfjopj0prA4tu
6n5XVZJ8mET4ZkcZIDxg/Ghx0osCc7pYv8rsosCAeQWEIEfT2UD6cih0lOgkb7hIkTY6osvfaoE+
y4AhPUDVcrYwXomWAMywlaku6KlWtuGGuV+6bKhi30xT/vHN+2P2mAZLO6NqUT14vT8A+7SMP3in
wQiD567uq7NVyP2WUfL6JQIcCQaDusnMHNfnaPSfkGJUG6Mw0I085ZYmFY4ky7kLCRxDX6HEWy2A
q4NR9wJCO5/wv9bh/wymyLnG1Zh6p1EYybFuC3UnjNI7oee9hfT+W259FTugQkFbn5iEYjmKEYv6
spzptZUaVXCRRgtcZjDWprkXbazE8Fa15idGtP3g5npdGjtRJTnYGL3Jvmd4D2Z739RR7ZqGofyc
6Xn6u88oOh3aqR1zKg1J/iNgXLhiJRRqR9NbM3GiqdTBSKqWZD6pPt9M2fm+BhEimSLN3OVS2EKb
zRC2OaUKrFN3amd1dh7T8bNaeuXvfoxxiygBdrUOSmjdfLOP7S7rrKB2uOtNfLvikc2WtWbTOUXv
lU+6NFHiSic/yHb1pKafpwwTj91UZd2fKfKrE7giXXaDDMMLYJRtAuFDTPHLMFnQYN64YecFxyWN
jHZWN14iJ2Egppkny/7FG2rfpdWTnTMFgMPtUVZbCJAtJ5AzSMYFWHRxzYhAUlFVGKRzDSbso4a6
rptMcvuI6tlWpXh1Q/8dau4jATSfIYuvj4YVIEqu66AzzKoO92pXKXdTlm6BCK6OwjtAPWkuCyxj
esynWsPXJ4ppfWIf5TGU9hn8tY13dXU7q1QAUO3lyoBosap6F5NdRZ2le2eai8reM5vEkSUl/OLZ
bXTRqiEsN3bDle9ElRt83wx840FfLB6tsNqYEG+64BIuOVUtzKMHFm8XBN1WVrQGdDI5hFnoUtDF
xN5skRbl8vg/zs5jSU5kC8NPRATebKFMV3WrZVqaK2lDyA3eJD55+vuhlZoiitCsRjGamCwg8+Qx
v0EcQgWPMMeh+ERlaXSHpZn2pHWLnx3NjWE4JHmfY49kzaiJtrHdXUtLRB9SPZ0+6OWkvkyW0cV+
mE9K76M+nLpHDm75ndFzszf62vjkRCUUEpZ4y+dYvRtttlO0Tww2VlGm79WmT75CrlR3BK6MrU/A
Ekw7GIMCz1ndkFqUKQgkexCrXCVhCB9Ho8edbFBiyAauHCIokzv7bZhg9CejcFAeIob2GI6j3/Ct
SDwjfm+UkTIcCmWwPluMRBqAhihTPSABiA4t88fOOY4qwfNxyIopC6zYauL3Woh+bcBZsVO/q/TO
OisJfrUBrIPsWzmZgwzQ7QGvKLu8JMJlWWscLacX4hQbFo4UDPLAWoAzmv+lCyzgvoWhvicNs/UV
SDURNoSOf+uzplipZkVC0sdNzZhgK+QVszUIpX8dsJA8J8VT4f3dkh6GVh8tpCHDizCV8kdvGfGb
Wssn07eTwf5rzBcnAYDZcrWi+oqAyeuQpQ1hqdCeDy95OmTQDmfdt/S8eAJJNxzvP9dNpr4sBRWG
ThU9w5up9xw6fWiETCdkMpnBaFfVsUDQ5CjVeXhqaWydlTJD336y7V/3V75pzrEyZAtcbjjDSESu
9vUQF7jXu+Mibw9E0a9lZj0kBW0BNDFFoLiI0+h2DryusGacg6rqcn/9rY0DWoLCfTGsuIFGIh+E
wGGPhR3yJvEVlWJkyjKaqPdX2Xq/IBiQ1QKFScK5ChKtlcyDFSrexXQaJ/LRZhvOuRXnXxYu34Oi
jN8Q+mkDQHl/3THg/TJxWq4jphzkhq83kVIB3kpdsHXo+RrnujHU8wTKCXRxXf5tx4D8nbPMyWCW
Ru9ledV/JIStOahjuezX0G2yp1JXy8dS9M6pqYe9ynLjq7FVQYSYtARu23RyadEZi4eFO4r2H2Fg
ECPdYs97YeOrQata6hLGy9QKq3dn40QnJxNNH2Nws38jfRjPCInHybFuRu/rrBUGcc0q4zN+6OHO
jtl6woWo8xuuu0yKXr9MB4V2RHURKaur3jrDvzfGg2rCuDrc35nLM7zOrAE60wugQGcmRa/69Tpe
h1URY4PoOsPuO4Izf5iL4egl3fSgRzjH3l9t440uVDVoorQ6bhWZpCETU4+j5BobtTjmueOd6l7a
xwKI+idD6OKiu0XzuYMjtLM5l9Jn9Zw0V+D6LKMJWAqr58SW2HNjtUmuuQ3Gb9IGhAnRcf8IY9Z4
zOfmX/jx4U7D5XeEvlkUJweKW0LLTctTFjYwQ5T1UWMEdHOkt6y4fulWEYr4o9tPx66tihRN77Qy
HsJJa4drAaIN2Bqqgv/LRZpOvix19wdMft3yBzMp6yNt//lDrnu95edt1Xa+gVbu5LemEp01ZbIN
v0FNySWMWepbXAiRZWwGu6uvbdygA1o5nasHiVroP91CwiVQvOQy1H2j+3XlJc9ga6PP9hyOn8NI
Hf9NIhU1xwinVNCnnaf/AG+RfykLvB+Odtur8TOG4O3XDmPFDwxo52eHDQtZf1ZtGej5LD7e30Gb
35FzT30LYvWmvyu8UsPBAc0CeuTMvYpZ6zS/0L3R8tsiqu3zKBMXaXY4wcbOkdy4qiiqWRi/U3oU
v9khf8Q39FoSbCOK+Jo6fd6d8yGLwDG2kWl9qLK2ecOGH78r4KXfkhb3+pPA03OP0nbbJ4VPB0AY
4BP5OMFpOWF//IjF+LkfjQQ7ojTrsve5xbUNnpGJPUQSwpLfT848B0qoRd9hqE/vJmsa1AMc3zYO
NOEML/NgpHsC4LdjbX4Wsqvg7pHEhiKzClf2NIZR2xEqq7JtFz05p62DQdQwWyaGkBrGiVpinTVt
wFailcLKfau1zdJ3c1PbqSq3vhOQYgSnEL6CGbYK22YPYIJ2QHTVYeEdljHnMa1l+JznYKzCwrZ8
TynxmUMa6pAxNP5xf4cuj7o+9AAWmftpJgJf6wImlEM1Nh5aiKXZCJzJpPUUklTvnIONegCh9cXB
ifyQjHcVz6RLBQjRilUiKk1gT2iisMoJF7m90Lm91DI8ZbQLWnuVvFCGtk7oZVwRme4d0ZM23xup
Nh7QsNjzL95eimY7jwUHd10/I51HFpNi4pQWY4fDm2oeinKe/X7o96bCm1uWctaFc07r9uY4N0j0
ldXQKZe8zOxHdGfKoxIa1kdDKdvnKam6S6KWeaA6s3rqJg2mlxHuGbduHmcQ/wuFcmEErjeLCIci
iTUSmV6TzhfGnAk5sGjqt62KbfqJqUdfIA1nxmC6M8LbG6mN1XyoImP8Upma4vm6XRp7fp1bQZYd
bIClQDXuBp6qZsXsEEWiK3Fo+B7XwwSUHRW3T07YtY95T8901MfR9u+fnN/9ydXRMWGdEECYcXFl
Gq+DmxZqAxNEJUFYXIjiIFyv+16BS8cGUapfSr0XHwbpYHuop0OFcolQe+w9JdJez3PeUJR6Xed8
QAEn/TTLSuR+4czKN8cgBAXl3Gsfsb+RsZ+UAitC1RgVM0DFRusPiGBKugpK3ZyGytThfHtcrGKs
W9h4feq8pImTW1cD7l8LxK9J3SDGovAr4ws8eQrbyH+6tjNQ+edOfTRRZlqg6sjcBCgAxfxZ5umH
VArxU0mTakSD2agAyKN3gjZSEafGMSursCUyyupb62qV5ieeFI7vpEbxjtJQqT63roWNSui1xks0
T9mxwLO8fRTtlP4QcW79SqJ4/LnzQW5D2avvsYrqdSRd7HbYnaOVfdOHxDnKxhFBiYPgw1+vBOke
yDosTgac6xjTSwqnkTzoKk1Ab9YQjQ/lODjIok/Wu/tLbcTnZa6xiIQzHroxJyxb4TqV0iVX7DGr
x25GGcGumupwf5WNSOYutyGzaIROb4QEHECwtjSwlqcl3v/PDDFjLr0wOZXjuDfX+22fuzo2IKEt
kC2ACfjTKkDTnXVjYUXpdVQ88a0d1fmrhFn4j4r2y0tfd+PbsamLb5oYkvohUWOs8IbR6OvjaLrh
1/vPvRE6uHd5s5T1oIDXk6PYAmE8CPITsG/Ns9vNaBBliXti4utgyJfqnz0rt3c+6UYRg+w4unoI
P4KwWvfgGi9XSoHS91WgtXWEjAC5w4z756hvugAJ+ujTf3jIZRBHm3KDK4YwVz9HPOU1TRJ6TGgX
pC+RVjr8MU/CL0z/p9k36UIZOxFya+9ifE/i5wIaAbP5OkASC5F2YmZ7jSl3E98o3RlXtNj9cP/5
bjFmQG+pVxZcumV7N/QOmXpa5+gyvjZxCEUZgODwUTXz6iHrQhPZszrK3ylwMH+IMpwu7VDnSK21
eLkdx2IUQdepqXYS8yB2PvTWqVq4iRAZ2Ow3c8JIhyrR9DHZP64hz6PijOcxdL2nbM72Zmkbr3oR
3KNYJA9ZulOvX3UeD3ZZ1egU64hKf3Ua3Th1MyzI+29647h4+KKQzhMskCRffdBUTYQ3eyZa5DoX
zmTMh6QPA6li6BRmUK56FCz+PjIB5+CapeVHi30dascJfU/gg2SOVp4fTDtSz7bGQN5GyGUnqm+c
S7C19tJeAAFKd/z1O0RMLFXUfEyutWyVxyF1++c5SRUZ5GT93alUKn1PCWCjw0BRyFSEdIqNuz4h
eH4BIdY4IaqRN28EmfdL67jysehb9Roncf9o2a2rMOFLlf54/2Nu7M7l0DDPWo7OzXx+0GfbKVSb
NmJtFGfTSb4MQqne6UL8ur/Q1t40iPi0Mbgqb8bzMgNlNCzHs7L19C1woW8qcIOdMmprEZJ+0MqI
e9BFXG3NsHJHY6YRgaFMWj5iA9bGx9gwmz0a6NYR4DJYADCg0G42iWJpZRJ3PEzfDS+CNvSZ2bVz
MnGvayAy4kqUNHCrdyLp1reiVgUpxtzxFodtlyix2NZMJFHM8F1Tj0XgalN6sivZ7LSBflctq/t5
4b/TyltUz921OQmMDaON7Dq/QuKdwpPetyJ92xRT/29jWig/Qh9BoW3qIvNg0G90fGYY3bsatQnA
s3P8BfF+1CSdJKy/4e1j/FCjqH8pcT8f/KK0auGPXu3sJeO3nx+TCS43A0wzadKaWsMRMltZyPxa
G27rY8CoHYUb/rVxwIJ3Ym6mLh2y27mN6/Uku87iVzKWySFFF+UoRVb/9cFkGxt0bfjUELlvgkIf
T3HXCSQZZzs/seHzc9No9SVrYFv87dFkWAOdZBkCM7S5KegaN9VbHPuujgKWvs7b+oiR7J6A1O2Z
gTtFB4jjgs/LzTSwkF1f4KWYXtUO/Vdf78TcBehjOG/Djsmsr9eT1hwHICd7UIzfNdjrzcxEirRg
mRNBklzPgm2KKZQlcUAEH4RDGlAM3Q0GvW+mQz3hS+in2mxij5mUUdWe6cfatq+ok/qtzvX+U4k8
6HAY0x5KJbepzbBpaIsfoug001ewbxZ+DCYgevKqJAb8Ckz8F23I6a2FfqodQIow35penHwQmo1e
itC9BiRFVRjTYe60vDhUXefaR7RKDSDlcaTLM9+rlEGSz1PxzgoHN4fB3JoNDG2t6AK3WaRZ8rYw
k6CqVfMfTDihSw+eRchJK0kBaGKIgJiQxb++v1duYxCvEtlrBB3IlG+srYDFg6c0dK7HskvPuTnX
R72qM9xiM28nmG9tmIVrD/8XrM6NQE4dynhUUCi/Tgic4lTj2t/NrAHn6wzNC5wULXAnXKzvP9/t
9c/zUdaBIGPpG6bC0HcaLiekySBHtIdWQnhRK09DlF1XDsA5xc56t40/4CoUdIspNZjmdYO2aZsO
paMyvWouuveHJIvNH2ljh/jIVQpeQDk30MmRXjkeQbw4P/RIeMMONuM2/6D/DqaK29/bEt5K40xp
w2GR3E/LMBhCGX2kF41xrxyLJ7tTxcXUmx5ZGX7/ztpb+4lykzEHr/0WUd4AxJL6yNplnnvBgn9c
NJRNVHHzvYbv1u3g0v3BkZQdyoTsdWaXKYISp2A/hYgIHye3rB8qr9hzZdvYQGSqS6sb+jJd91X+
mEsDo/oZ4yxdKYIKZ+FzSP/dVwXSLsAudnJxbeP9aXgBLp0v+o/6GiAbpXmGhRQYmkjvdZQBZGQ/
pKDfPrpx2YbHJRpMBytq4R27A90cvxGZ8jQUoIqaJMmDUulF9WCPyIYF+Eh4j6ka7Yml/IbVreIv
neVlggUElItz9U6miIiHrhl3WZTP7nkG/gIShomAdog65MGfMGaP1KPo6/5tFE5mF4DzGqpj0tf5
RzXvs389QHDzo60m1QUvBdytrbwxv7pekjpHG4pdelCHxIWAmKt1dcnpfylXD1LAELhuG9eI/87Z
dCxCu8U4kdyk3dnGG3sLoBGKINhW0BhdV/M2nYxE9nwGDTWQj2Zh4uSGjvSOBqNz44C+VLfLOV18
MEFMrl7kbCQ19zhAI89tJnlN0IvXfOy4nQ5onlI2jwA60dzuE2Fp7y2cr5XAyBhf+K21UNl0YHkF
al5yDIPUUcuXMJpNRD1gpE/+1KsdLd3W7BE2HDBZ1jE0KE5eDzgxSPHxboJoku4b6hEgjNKu1Tno
1Sz5kXVmzyhytr8X/Wx8sCo5Gr4GRC7x1TZO0mOmT659iHpc6g5tDqXrqPXC1g84nLsaXRZn+qdq
jMIMhlFGDxU2vh2mFJr6VdRJ+KuoQ/tZs2VBOgko9mMy5sZ3KPRIJHalV3uPYYl4s1/T+AxPMpuH
L80cF4pPEEdpIY+UdDwWPYTaJyeiO+jjTaw0B6+S3icyLCU7zaYWX2SWqz/dsHRGXzGb7nshBsn5
BbsZoYWCKrpPZyPR3qSmmP7RGtl6JxcCvEVeII29cnejO0YVw5fmKWiy39yyEt/pGf9079K0E9LM
9EoPqdlEQaQW09ulT/jstWnFxKwr3xRK1x86ZiiB4/T6Xha6VEzrowvaaSmowHHdAvAj3SiyUboX
REsM8+hFQ1wfRNqK5nn2JsHJ0uMkesw8b0zPRUd2gMK9kiUPbTo1lt913uidgWmF8mQYIxr0hYO0
SoYOsuVbtObdJ8Ymsv+lak3SBQgl0fYu2C6f1N5q84fWnTE5bqMGfs+kDGr1oe7doT5VXTZ+L3IH
ewB0z7XqjevO3ht7lrZ5aGK7eZdaSvrZrRWL5C43s4L/bGr55V0hZaC0zpj6CmoCX5IKL/RT4agd
cHGZUJjMsVmMHyCVc2AkwujldZB9dR3bpC8CThwKNLkntbeqMbeu73jss51gspH4UFws0B6OOYnB
csX8MS8dBOI581R5F10V3lnohfD8jhrrMGrsASVrxSEm091ZdWvTsSwCFXDLGTCtx3NhtQB2G8W9
xMgT+KkNemPMiuqQ1D3TrB7THbdow6BrSUdVvR4fUd1qzkYr9yC2G/kI1zPlCL8Fpu8NjgSN9ZTR
Bz8EatlhFNn8rGDWdmQWZT13vTqhal84J8vaawRvXKZYcqoowIItudVuccANeEa9bHbVK09hm6pB
KjzztEg1nu/nmRvtSi4qZoZ0QvjUN62KqWTUauIDcHGzqXuPsE5cBqkLBttvjZkZsF1k8/s0GZDc
d4TKJBNCWJ987Edl/mroiCcIxBlhO/lREqrlXyPMwP2TxSwMSSrpdSNRTliujIuUiKs0+TFLivlq
TGOxs8rWPl8mZ8Q3SCI3OC/+oigkJPtLmqYKwy2Asx+hpTTL7dF716nPHNdPrTjZywS1jax7YTYw
a8ctW71B0IHMH51OxMoFa7x2OhpNtIgmFp4FdoW/MkHodzW60NYgv09WMv0iFnUf2DcMV8tMapg0
xUbnHW0ttMQD2WamH0KnHv4nAZoxzHNS5eRODfP7lJr0w87W2fz1SzVLug2keg1coJ08anoEPx0D
ovEDOFJm2laat4AEtMJ8kgY2FpA/o1NdaerjFEZ641MXWwF8MPN5xCslaJVBeesZk3Ka3V59iWQ7
PoBFUT4bZjud41zZ0/TZSIsRzONGo3YGhrrGAvfe7LReDOSYOJJfUpyTzmNtFr/Saco+JoWi7byk
jaMMQWZRYqJ7cttujDMBp6RjPehT+Y8chokIqqFv3kVc+nvMg83FaIg7HoWUzaKvA3aHeL+GeZ5y
kVOfHmhB4dKCTvMDUmzW6f7H30g04aoTGheE1q2UY4X+GyIxPBeD5CnQcP88VNIyDvdX2fpaC8aZ
Hc3j8N1ePxBPSDoVl9QIOdCTWsz50aRFdI5IhBZPtj2M3dYL5LajCw4lbaOfChWlwR4kvEyF3R8s
MqujMui1j5rG3zdRieyLCBjTGM2jhff60cwwdKY8Wh4tkd0TzFQV6WU3u3j5kOzEt82nAqhL+27h
id1AA7qRMWufKRezHpI3veJNF7qW7ddCix3//gfbW2r1wTCb0eIJC+FLjyjLCWN7WmtwiT9FYfLX
yvZ01rkWsOdbsKxgG16/QAcM4AjNN7ykWPLEfi+NJsDsZXyYHILI/cfauCFoi6CEsBTUzM+WSPhH
JqQ0mLWDKYFvnvXRsTXn9DkuhvTgWPNX0ce/zFYbdy7mjTf555Lu6iyP5WxlwCC8i2Yn0MNKW59e
KrRTB5LTdg9CsPV8uHGBWfmNdl6nXGKB2Kj4fVxq1y6fFRxqHjPRmo+l3aI+O0Yjl+Ds7PTVtp5w
scdYui701dbyNfzLuWv70L0olZpd7bin91rN+imyxmpnW27EERPDVIS1GG4t9tOvv5/su0RrO1LK
alC6w4ws42E0ujCAu5YElOr28f5+2VpvEWVdMGwYB6yxWLCDw34oUXfI+iE9Jd04/xxb64vZdfo1
sQdvpx7feJNUZ3R6GIOSrq755omWlEreLFiTOEaT2MK1osB454y05J7fyOZSfKvf9+ctj3aqEniL
sA2uBN/xySgt+UzXx37Xu3CN7r/EDYCXhQ4agl0ocTBSX88DLKyQjdkOF/VRTztNslCCeirNwwQu
46xojqQQmSHWQlB7boy6+6cYszLQtVp5jCI63vd/ztaTM/bFMJJIejuJMgTrV54OuQrV06OEAPdA
TqccIzq1O1OvjeOI/gw7Z7n2uP7019t1aIZwdAa4fXihyae6raIHLVHUUzNH+bFprXeTUqU74JPl
CKwKbFAB3EOM6+mf/m75/BHi1LbIEbaXyiVty+joyTJ7zyyi2dEr3nyJf6yyerJaLSob/wflMthp
Qj2uM6hIPZH46EIDXrr/xbYqSfD5cF+ZGy4+vKsrog/z2eywf7tA83C+zUZtXUakKA5DCEOAVNQz
3gkc2x67cPL+0URmOkEyG0DJRPjXLHeqCwgXy7SCMuOmljYaivfUIDWrpZpfO9vJr17k7ZlKbL5e
JO4W+Rqo++uKVVFTJ0qLGi9xw5qubg6IxrXi7tnziv8wrOOdQgkgTVr40qt3O4IoTIUAROtOMRBM
3Ssf8qF4uf8FNw/CovpG+4HG/PqKQIjAa9zFGTrEhcOXjsQNxM5wGkyRwR3ypA36LN6x4tp6h78D
N/Adrqc1BBpwkjY5COReTRm19Ab1yq9n3mYWQhq+/3ibSy2iEsQ3/rEuRirCZ45+GfrRMPACKTFt
zlu1uITIt+3k68vnWB9vQB2IdEMguQV2M0FrKlVQqyHQmp/73lWRXOmzEyKq6aHox/QLBZj1qYum
/9CSBpxok3yCZFnYHK+D2TghoINYNFE8rr1zheTWwUl6uTOA2ApfFFi0S0inGYwvN/If4QuFfm20
XI46wGO0QBpFvWS6nu3cAdrWhqRwXJQIcNuC9fd6GafXGLd6SJYpjYXxMxJVAhRtN0jNt7Goah5C
ZzZ+MSBjkNrM2lQfmlYOzbnIZ2vpW01D7TMJ6LyD4znAaZe9EftVPhc/1XJu2iPtTX1vFLS1zRYR
ZeoaOimksK9/tK7P8YQhm3IpB1VeZ7fJf3ilbhxtZ9L+w4F1gO4zxUOU8AZNiE5WM6p1TkOjKtzD
AqPyE1vtz3VXDqcsk6VfVFW64wiz9VF+O/uh3UaX3l3tMJCNXtyowM2UcBzQftSwwMQI4phZynvb
ldAVoGT9h6O7kOFtylOadOvOlKfDo9FTSP6OFpkvWdUkAUrczQ/pzF/uB4mNk+v9bnqzClXpemcX
6azVbQrMTSlRSmKcYDaPRhJpz3jfedhLWlHxYndmPZ+Blu4VPhvHitqUAE8nkk7POkI5uMePOMBG
V2sCfOtrjQpmEwVcded1bq5DD4xO2IIzWXcuzCq0Y9FasOSbrB79wRqd0yjz8Pvfv8vFARLsnkp+
tX6XcYGSxGxiPZ6glHRl2IyolQQMyrw3vCI73wVeBE0Qy4+9cn/rAWktks964NxuWjM6wy67DWmz
Nn0xfGCgJaCbNHuX8lbGQz2MfjkCNHiRr2mXIb4ojhRQVuN4kWSdE9G6B8gKi8ZuLWfamGNZO8ci
9YrQh5oyTnRv45FhyWz0TmA0pVHvJLNbT74QacEwgNa8ESKvMJS30gr2fWGq8rml+wAjYNrLzjef
nAKPYmEBg/L8r4OclSOQWENWucCO0B4mOtNXbNGqQ2RD8TByRQcPWkTPoG9wf4/74aJ2njj0oyt2
ui2bv4SjutgmADG8odmNVq8MHFr3kisomRyKGAgDvHArEYfSlo79gARRj4ijKnCc1ilUjjUiLc3J
AGrg+plij+nOT9q4ADzQ9EBXllr0RpHEAlrZSCsLL5lM8lMDSufJSCfttIAH/8PXBpO2qF0A4L/R
BS7mKkRcLGGfO2p8tDqRHpVJ7BGQNuprpBPRUyadQNhwfaNNsgyNVuBLYWcgqGJRRw+DqmVAgJrw
UM/pj/thY+v9gXzj1el0628Yeh7FdJVXizOvDcVfbZCGqMsBB5khy//+LlusGheY0UIuXncO6E8I
tKkiBRGzJDy3Rpsqvmk39dPQzpZBJhprhp9Z8fzP/UfcuENJs4mKpCYoLa1xlhVi6h0GuZRK+DCc
m15prq4jo8cwdbG+QILgOrXGXmLy2w1qlZV6EEoIDIR8yq3VzR3X0NsxEiW/r5XSPCY14ktBEqPF
wvyjpByDyNlfezy9DT814uZH37hYdTkCkBxUzJCLXs1M5QAJxZEPHVSNzO9hQVeBaBrZH904H9/L
2VPAnjQZSFEt6afUx4oj/UZ7cWKyXsxFcuqQP/qM+2YWBfB9my9qB/PkXesNAy5zgKAe0rpxnWAg
hEU7KeXW9U7IQncWMUsQSKu45ShxnYi6puWsxBWi8pOTPQlZeyfhpHSei7itLrGXecx/6uR8/6Nv
hWYg9C78fMLzjcJqbkEiLzWBiLeuJ8deGN25SMI9FMHWYfUMeiFgq5allq33R2peFczX1ZGrTxFp
/mCpjQpOFdPnsLawOKmMbKev+Btdvd5Vfy642lVNjWsixANUT53Kpr/eFsEi0P02mgAI8ifPNyXG
SDmAN18P0flyEiYl91/t5kPTAiRK0W+keH390DiLo6MCL42QUYu3k+I1p2SO9EARhuVHXrU3Kb0N
UfB3GCaQj7pIBv6eNP7xkhXRpkOMZgz+JQMG0oOJ8g+shKMd5ntF0G2oeLWUvnq0KgVg5KWLbLPr
lN/nYh4DDzWlgNmd8dwyp+YdF3tSQUuH/fU35aEW6WZGdouFxeqbCjJsppt80ynVeZ+hBx4SEMrR
TcJ88HO7rd5nEd0/T2kxoMrtv/Y9XhjDIEo1jijk8XXhl7WWO096H18No4jfxtNcPrm9qOdLCrg1
3NnBWx+TcwJVHX3ZWymsdmhHXcHJ/ppFUf5shG2Hm0o4vcurLt25r7eWoipEsfc3+WLdapzMSJpp
kwNutb360KUuJkNIFRzbDPXr+0diayn6X1iVuTDObuhtalPWatTBjE1kojxKTcl/tsbQHRxpTB/v
L3V7+uiB0WsgBVuE79Z9o7wvFMm1A8Sa2lNpuS0sY4xOWThmB5ok8/H+chspH+st9muLCRq53/J7
/jh9TZvKJBrRzEUq0f04NGXoT3MIGlkptOPQ9xIEmm2ccGSQB4yusqcaG6tgyjRjpw1ye5vQaoF5
QCcEgDnuKK9/iJ2P8VAP/JBw7NJ3XmV5gWFTmyJb4ATmJC0/EQrY73Kwdgw9Nrr1r5deLps/3gEi
R7k19DK7illVW5A6bd1ZR9XKsjezi0afXzdzMvi0niEQF1pjXHtMBeprn4fqqeVi7nh7wtgLHBu3
AVY0aF4gfsgRvpE0mHqGWAP1+VUvsY0oy9Y+d8qcnNJhotwr8vrRGNr00A2Dy0dr4nNajep/2PqL
+iIOedS4NzV8a2rYVbBHrllnOUFYNuoXre+7wMbdbOc7bG19ej2LOzZt2RtIyaBGghYSRKqsnv+H
lEKpBi5qNAelrZ2Xkk7CTgDZfL8kMCSryE4bN7xKIzbRqrCU+BqmfX7SY40OVyILw++10D5URmge
rYa4Vela/NYS9GyxIGp2+gdbT00ms2B6yV+psV9vPnTq3bKNYMtpInW/qk1nvx1kVp6Q1WgfTTK4
PYGxzQV5vxh0gg+6oXI4WpqGuUfc1Fy2llWo+QeppMWjMyrx+xxt6J1UbevSpdBBbgGFByLoKsJU
cZ8ZNUa316JHqcIZR1wGywmjurJPJaXtEB6a1DQ+3A9sm08JumPBf/5u879+rXFE5p8OaA413jB9
meq480slTp9HK2RYGyV7XeqtW55RzW9uDNSm9S2ri6ZQu9KNr46wcd8bkYrRiuGLtEMLTf5ixjgw
zgJJteyXufx5/2G3djIqTkjKwywhnq97etZQ0ab3sLEMmVPhLhhpiFxqGmpDZ6Wz51OBbdZVb3Tn
hFHA+IZ2mfGhHObY2SnXl0i5ynU0+rGw6xAFQ/x59a1tYU1xPvXRNWee7ecILLzUo6LuJBmbq1Bl
AuM2ODRr9JbLG3Zzl1mRTITxk87cJ4Ek4f923unGhUSdjnMWY376iOt9a9D3EP1ikaOWymz5tIlo
IyZz0r3p1RofZ0mH4Kq6sfOZk5tnYF8RTfXLAXSpn/dgfn0lDufGlx6b0cc2tI+C2cZzHDcIYXWH
vhwWb8kqy5S9S325K9efYWnVEUS3jL9y8mwvKTRKcdsUXqCM8fyUTnHrnpM+MdWHlBynIvXUu89R
oQ7WwXEn9VELs/pb1PXhk13lbnEgF6j+2n5gsT8ni0LwHWDZTRtzhIeRl5YCqEyJxtMkOuMUg6X/
qeeV+n4q5z0hvK2tQuZCQxGdhIXX/ToMsFUcZUDk+arDS79aeoj4UA+H9t39zbLBj0ObnwQKlBLV
4s08DL0fJaYLFl2LPM1dH5Jc/C0ObfNTO+uCnVCEqBlCTYq+6b2jTW8UaRQPaBY1QzDDfm2fDVll
zlEvlpoEeuf0JXZsEAK1qyvug2PlboOo0CA/g/J3vjdD2qlnbeLEH2w3FQgfzEXxUrkhhqI+Mx23
exhRFPOOVV/h92ZBQ3X9GfOJ8TROSDQ8yM6Vsy/NqnoE3edF/jho2Uspa91+o8ZpX9OG7aPmrIOV
+OrwP8n+7WL46UBrm8g5tjUp0hG+jIhedt7kxtYl/9XxYgQ2dxPJHH3Oqll2MHRVaVxBb9vPY9uW
D/dX2biTmBsSMIlWNMfWcWrwkgoBAOYudVqpj009ike7TNprPmfFM+zDT14Vap/vr7lRRFAWEUrA
hTBOXE+4u6Fu9aJi66OzUAdTYRYXwQz4AIMk2QkAG5cf0AFIx8zSkQxehy4u/TQXM6AhKaoftecO
fNNMvmD24b0NI6/sd5LEjfXg7dAzWC5Aht5LKP0jgZahGwEqKYAIhIaEQLlABk4iV2hYRYrRTAF0
SzX9dP99bi3KUGJJmSg4b2aDuPTmQvZDeOkSRTvOo/7diefWt2WNNGM971lCbHw++Bu8S5ijBNZ1
l144SQtBiflE31Qj+Xa0RG/+a8sMqsRId77gRtwCzEnnlnvyd274+o1GplFHqljwH5VAIULFFA/M
oLFzkW68QiQ7wcGiLrKAuVf9EMOEhF3bjFcblSHKSeh0J17s0YuBQHvNXB3rporsw/3vtvEifyOE
qDVp14KNeP1oGMZaLWqCykWMpkDzcFZOWZ0yHqTY3XmLG0sxVwEKsXAhGLCsni9vZRojWgZgRQzV
yaF8fTPURlwEIt8NXPrGJ1vSXIqXRVzspv8NBdRW9NnIrw66y+VxCDXomPasWoNvWUNj+wll5I+m
d5KvSVH0hW9qw5RB08rNX1mWijdE3Ho+GA3M5WOd6Wg8T1Hsnkzpav/A5XHtIPZq3YN41cMRUsau
/a4NuvrTcCMbw5QqHV9c3LT23Mm3noskS6ezT0vnptVqTj0dgknJrnXiNYjdy/oQYiWyE5G3Vvnd
W6HrgfXq+niZ3ETWFFGDW+acP9QjEjeeIfd6YVurgGqEFUaCSvqx3At/BqpIixLXGPIrSMDuKYGX
FbRVt2euuLfKKhz2gmVGvc2viQWUwJjs+KTb4v+cnceO3Ea7hq+IAHPYkh1memaULFm2N4Rl+Wcx
p2K8+vNQZzNDEk2MAS8Ey3B1sdIX3qD+h829XEcL74AQZ/2eAM+HyQ655FblqhIMBvUi+m/lxQSc
enBPLD/4bTwJVoBLAjHc/xe3evvZQI2MbTsn6U0Lo7gJyCaac2jn7pdes/PoZAyWc0H598FwUnGQ
pG+PMFE+ZdNflUvsVlZH2CMutNXRTG9zYRYYO8Wqb5j9dBNKNx0kL3uzBLVIA8tZgLZrXJhAfK4g
685uhoDkdhVt0naXxhndKMgKCPT/6E6PXoGZG+FNjhME3PsX4+749JkhPRNJQl57+5XjJh3oRPOV
ZWUVT+Y8RB+on6q+21riIRdj8gEam3qBUdYejLz7kRG1AtNP0rDhdUvdkTE4cUaeVW0O8Ih3f1gw
PiPf1aujfbs9HagCcfwwmGHITRxUDFXWtSj532LI2HjMT+IZZl53vf8xtxEejAEgSNxb8Ps33iGJ
UQz0eQsI00jqFaj3jVZ+QoegLf0+rLlbayHDF5vCy1HTaKekupAV0ANBvY7gcr2PGjUqutZI81uJ
BMW3sGzGlyxLbPWcoxb2j5BW/1m2hXNCYb97Sg0lSoO0yMrMt11cxf7D0lK2g1UNhmZLpo9AVCdo
amTUNquvtcidR2EJ/QTrWHx9/xcHLLGgRJc4cC37BMpYl50t8hvI9AxtYU/9PEFZ972sar82Xldc
HFCQB03nncoHAjsoPy2NAGQE1/dD29fUbvMovxV9WV0mO0JjQrPGTwOV5lPn6D+nuvOuaSMRZcza
4kzN46gXvLehWWl2GnWTJW9ZnVtlCNErcNJbQ4H82tWuESTgeg+u+92ZgkoASgoSZdtxVkw30tTQ
Sm+j12SfMTrtPV/VRy/xM60SC8p8mJ5LGYmza8d56ReVPXybcTA8Aidvo8YF0LrY2AO4dje3RagP
0NWxubvhqZLOfmU4w48qhfaJdOYYnQst/S+Hme4Zl7IGFHpDA2o6tIQ74oKFQox7jsvj+jS0NP2D
dAjt2u/SuE+DRu8b6+D47K3t65GXv38VMFD+xteoTbKbWyrzB3Oo7Rvmxc1B5Xt3FLJdShT06UA/
vx1lpEAa5XXI0raeVdwgAYbonMZR553un9HdpQN0gsgT4L+NqK9QB7INjycuNPX6Yhk/UaL6gdGX
HhQe0s33B9u5grkNuAepwS6pof52Vp1Ux8hJjeSWDrqefKVPkn7XcczQP6a2E14xQigfVbUbH+4P
uzNHqH20tLgX4AWvSz7SnEy61Baa720HArqfyQ6CMKEEFutp+6QXXX9Q/dnWfhEvRRgSBVu0AzeC
78A6+ypuqDXbxUB13R/qQa+fXUUqoGLdsv8yq3pvXOoizsT/WhSp5CUfIml+ff/EAcsuwoWU9zeL
i6KSnjJ0fHMBRL9AaS1Pld70wOTK6Fk43ZEo1E7fjHkDpEePGr77hivUcyHSGkF5xjU6TLJEWJ36
eDKfG3eW18axsQ4RKZJLk94GeOU0AVa4T6kSaX8S1vUHy76325Z3F3TVAt5av7qItHemSWHnVoqU
imbWmUp+sVpv+r1u3PjUd2b76FVa9H7pQfDO8KXALyxAq3XtI0LFLUxzulZRFOYncy6yU+NetBy4
f9w/99L7ZCROcfDs7VwYBKkY0iy1gW1DGqAQCIbeo1Wmhsi3VNL54M3lERdsJyxkFFQAFwmFRTXv
7QEWnp57JEoInlpKHEDOaC6zNoWnKcez9v7e3RsKot6yixZs8rqkXwBoKZ0ZESdvHuA/1bLB9SmV
Xoiac4+D5P3R9q4IKEoQbCjwL4j2txOrFVjGrVCSW66OOLXFoFskAIIHb45/zOCq3n/rkp9RHgOM
RHVgHaNEyVyacaMnN73N60fa3O6pGIz2kRQxPSeh1R7EvnsfkyLcUo4mY98g4gpERDpdYbx+aMVN
DOF8lqjqnErkhc73v+TuUAsyk479DuUk08ZJiZFJvyk5QUk1F/o5HVvtu8SH6eArbvc8hDJ9qa2j
8sktt9qNbRt5XlKN6Q1VeuJLMs+zLqFD3p/QTpjFMCb2MrwgOzUjIPg2G19nGASGA2xm0+uSzpwr
L3Kh9RvuJ+TD6quDpKmvaKN5ss2mOXg5tw/K8hvwrAO4DghkfZeNiURKaCKitKyODcMt/jD2yvSc
sN7BUHmj5XOflz6uX2jrTMkRF3qJWN/m+4yP1iDqtOzYTXlclZGNwqBLPKK3TeLbdvOUum1zjujv
BR3IH7+v5umzdNL44GTuLjIHkxIa3u3sx7cnU2pth8x6ztfPhTzPyKZf28I03r1rfxXG6ZYuQBPY
Hm9HAU5axHWKkNUolDAo+a+CodGcU9Q2ysHFtvcpNSQu6YcSuW7A3QuPXvFkxVChLB8Gx5EXaY2V
76izB29qVC+gKIeLJVvriKO1I5DCNMmzdbIyGD/rjKytTakplDFudV84n8fSTP7Jewv079KJ6K+U
JjHnyIQSv9B5q+oHTzrxmYegO9ljG39tZwHWBHHHd5d0+Fm0XQAcEVpvcB6R0feFYljEhZFdTyC3
kvDLjCxke1KaBtDw/QO9t6NgFQAfR4cBguFqR41RlTnYRSe3EPFsw0cfy/1au7J9vwQgs+KwAohd
SFbrPRU7NN7nuEzI+rumvyRIOn5zEQfu0etwx6dS5uT2kJOzCEVCIzzIIHRt58iiPITeLJDNrZS+
Y/ZZJb08uc3zXKdf9FyOaJYZ0RydtEV58Hs+Vj1SToUWoy02JIM+nQyQbIava4i/+bFrVgJfhKQo
fSUGGXgardZtH7J5bv+Qo15ByeiqHj3HKbQvVT6N8YOq9kboz5MpjIMLcPusoMy2cC5Ih9i769qm
heptXhZpcmtUPb/l6TiepGtlD3I2jvbH7oUPdpxjgpIOJbDlBL9K8fTQ0+q275ObAEz1sexNA6Uy
VKrOE/ps57iOxxfXGpBzguD2rysFiDwN26T371I0jJCkg6NHn2l1IyUy7iLLQkAWnKH8MM69Ejh5
7hzce3tngRgVLzq68MSNq2IqksSikC6whTyt+0fLaZQHNMPcowLB3uoxBkKYLB56HKsvOvduXyI3
R3e10eyTUGM7aCWMTS+LnANW9jaSowABMg6dL2DoG8UtLu0BYspAlDNX8kVDIB7LdkqWY6/1p9lw
p9P9ddrdLWAl6ZpR56KKs/qEXTqivbg4MWWzof5ADWjqz9IpevMp05xCOzUUw2s/Q10w870iLZ1P
cVe4H9VUQmG6/1v2PjOavEuZk4Bok3lQs40Ud0LSXUASOrlmE95E4jmXBIe6g2nvDkUOT4+Xc7JR
TTRBkUAGBdZbghXsT1qmttrLgM5XgHkLfd/7E9tbVPJKSqcs6BYkIrBGUR0lJaWSVhGMQJqeogTs
gReH5j+AMI/gvbuLCj4EphH5DpLUqzdCr1BUp+SG80046JmPxmH2ZEjTrB7QOZ7TYCipHqBOFX2d
CpHU5ypsood0rIyj+szOd0ZceSn+o2dmEn+9vYtavspgoNdFyWQeg1ybcZQBbpU89MVQHzwZu2Nx
uZIf0IqF4fB2LD3rWGq8aG7Am/UH20uas+fAp0s1SCj3F3Tn3qHVS72JUWihr79vNDSmgEbM9kEr
8JrnbXUJ1fCIj7L3BhLrYCxKNYan8Ncyv7rJjWmEtguB4maj1mr6CFKO/+Arpf0FsMn9YGhFiVXH
EOrFU1f2FY8h3oPj32itJ94Ztfbqm/QmtTubyPc/lI2M1NNQJUOq+YY2YYuqmahWBwmZd+NjbpIu
AB7XOZtTlXnvP9pAYEiGyb3RRVlHbniO02FGvfim2AaWvLWr+VkepQ+pnVkHR3vnsDEUVyfPDhjU
da6R97HR60Oc3Ur0xV80pZNu0EBH+jPulPFimOGkHRzvvY0HpwbSECExmO9lt7xaJiFn1Dpyom9c
KqaXrjXda61EEtHEzjtIJ3aib1w8AJ0S/4LJXE+umsq5h9ZHF8iN4k9K4SWPc5Pa5ZWPb75AmXNu
9DVr7CjhGR6s4d6mJ4khjgFlROy/fPhX00RLCuhGztgxOh7nCTDmWVqxPJjh3sdclLF40rkueW/f
jlIavRbKpZvm1Xlt+8CaLDTaleR/9mwmB3WFva0CjhRsOznTlnSFpmaCzL3M8Gmzk3Osi+ppVKIv
ld6Xp8JxhwNtoL3hgFEsoTukAHbM26kNiA9VA3C6W1Hm5qnltfk96qA3K2afXnPDOmpg7X1KSsbE
YGhG0VhfhS1WnDqNaebZbUaX/pTqQ3hiSxanwlDe3zLCJ4ByEKVDOP4bDAz5CloqoLRuatiHT1rV
1+ckyo8ayrsTQuyBpgkgqY3KIfDqrjNdylxyipxgpDb7oaw805/R5/12/4bfVl+ZEFQcCNzU3Del
wrQvQUdVWXpzGzlfFO5FemDC/Qh0Nr+2bZs+ZnWovrsKyqDIWRAvc09uELoFCL66jlIukppQ2Yq0
nres+nl/Znu7EFIKdUkiLdpey8xfH+Mcy3QdyuzNAMULBb3xS6+eLtHU1ydFKw6+49Foqz1o1kXL
s4AKdl/G1nOV5X8ndZp+khy9oGqn9Hx/cns7BDAbsTplHrTWV8N5+gSvoojS29TDM+iAHASKgH0a
lZyA+0PtzgxQMlA9FGI3ISQ+vDOCxmxGU1G8S2zo2YPeRjKIk1g9N2LsL/fH27t+2few2UEZb2l3
hj57TuFSePFSLbsQyle3cFFVvj/K3gckdkLcgmd62+OqTKx8va5EBM7tvbMFDfc8Ual8iDq9+Q9r
RYeBDJV2C0Hiaq1cSsbZYHMdRokeX8owFsZJGefxjPhznx8MtrdaDpK6NHaokm2KrWU0O01kcBcq
QoWkqIkhiB2EnNWZfp1TtkcIlL37A9QNyFRIgwDolt/z6pSBOoF5UvCMTV5efGty2foI6MaXuGrV
b+jLzGc9Vo5gqzuDEiTywpAJs3rrKIt9mDfpUifnA7S3MkM12c+kLYPJllFgKzlmxl3T/nF/y+yO
yh25KEPxcK9VmhRHh2PqzMmtLbA6jMmgrxktokvWCOcJmZ7iMs+l9v59ugh20pu0tKVWv8pwqt6b
+yppGHRq0w9dMYsviRanp1wfzQOw2M6RIO+nGAa/iNxivZS6I0yvD/ElHB2huZfQzuqPUQpy8rG0
SW0OUoudjcp9smA/YEUuKhpvN86Im0dmiJB8PM2cv2pRh9e+q9urFQ9K69NrHQ4enb3lowlBirbI
a29gx3zEueh7LB6hxSlBHOMlopsiejCE3l8K4PGBqWKFfX/PLGd7VZBf0oGlrfsrIFotn167XW9j
036rC6365GjjB9JY+xI7+HI6oo6vU1SM1xGzrq/3B95bTMYkPUD6bluX0oqmSwGeUIhD2CsJ8OtB
+jcfYDH1th3+h7VcQOuU/bm3N+WpSSdkQB0+vhl2KWSARn7VBpVRCYphJZSqT27BQ3/wLu28EzyA
vOsotoNWWEd9eM7mS8QLHW7ptdhekb24eHAdLODeKOiIkWAR8XGHrxYwsWtoUZKad51b1SmdlnJj
1RcHt/YO9IzzRsvPgfhDYrWeTBJlQ4V0NkA+jSAi6Mn7/vDqSvnUcAyTIEW1ovDboi4qX4MJdIoi
0xKnOQZoojqGPKgwbI6KTTqJLdbSxKJxt070epPwfbSb/CZyO0pONBbaUw9HG/9vtDj5F2aaXFU5
O7/d37Sb08K4vzzlPEhvEARWH1u1SqOqsplAHlXWc6NX8TnBjOAjbFmVAjgOy33dqR+LLD9KWTbH
BXQWIFlLI6Divl1j28c8VwhVLVIWOSymMUKc2h7p55Fu1kEXZVu0YixgLkRSpEg8naubr7WnmtMi
yptaCrPGKM4ez5WujZeksO0Isw0QPh3GJlxUio5F1lh39lPtGd33d39t2haLPBv1gy36BYOIOMp0
ahVe2DUvAvpbYKeue7LT8N9Uj9uveCNOJ0TK351g8wF4NsAM0F5zNl28Mp2NqbLpUopc917ASpgv
skqOuDR7S0oMBCadg0txadnkryITjNbrRA2R+dVpbH/V1G646NEUPpvWWBzcf5tLYpnQq6GWff1q
KEupemcMURWRY2WfPGKik6NiDPr+9cIThTY6lAFAuMuEX41SeYOoWgkyNh2G/O9YVNE33W7cK05t
86OZFPS1pWYVzam2u3enN8zw9dirME83UBRUVYBu+IkUZ6PwnMCuRYhYjor3Nd/24NrdXojLgCDr
jCXrWKhXbydb8oZgQkp87k5dJHxdj5DOl6n73SrLtDwNpDyJ30rRnNSJmMWXXmY8W1E5v1i2mfcH
b83eXmIfkvBT197iThJzZvUVj9d0WgoZQMvjFxup2so3jaH7en+dN5ERUyel84BpUtcmln87dXTD
RtTTZnI7rfqrAORyEUmIIQms7xO4jfJyf7jduaGmBMONq36TnnjCqZMZ2bCbFnvVTZgmpVIHgSMR
2dZ7pSKWmaGIDTNgKeut4TsoV4aDMPr0ZjRG5aFJE4rPg1LOD6rotPE0ONFc+k1sh+MJ2HD67f5E
d77rgn8FhctZ5TZfbSmKINMiaJSCLJ/tS5rV/6pTHZ0tveo+JxDvDrbwzndFiYc2D28od9D6SdEG
mliZCc0DbWX5ybM68391NNR/Vr3SHd2ou2PBG+ZC9UDHb6ZmzanoFstS6VjjcxHa1iO5hPXYWdMR
xGVvKBq7Krn5njZkEULdR1iWy1v24sOsDPPFjvL+a6LU+vX+gu1cqw41RM4bARHR0SocSGECqGUI
hSQbreQTZiTuQ0TN/v3rRD2PL0cLnrrxZp2Izu3aVcmwulr8OQHzDGSmGi89XICDCek7AQ41Np5b
gmTAteujrcR1noQz9wg0KUfxgUU5zbmE8OBdxhwXBtQQ86QLrC6KR18vHPtHCII6g5hpqH/JuUNL
RpQl1SSYuOnXFm3XOBBysLNzrvSt5yPIzp+lhRcLwb6WQ2nL3eSMVNLUnkcdCl/gCU+JQRAINjyK
qca/tWiG5KJaYdv59JTDox7Szoah1AeXA1AvzJH19+0bVPbHHIRgimrHuRqz6ewVs/tRtMOn+/tl
7+uiv4Mi1cI84k9vL07FTcO2qUGSWq0eB7QV1Ks72ulV5lYZOIjIB0YXjejimOH5/sg7VwtNChYV
0yqaBus5do5swlwHQ2L2SX5O+B4+1b/hmsgIP7dCPQIu75wMFDkgR9IFpKa/nmkkIN8oJQIonW1G
57IM5z9mZ/QOwvG9lVu6frQOQEFtUvRcF2IOCcxuIbCGx4Ru0xdlaLqroVZHkf/eUAssFlE6akkb
xWbFtBQrisggh8YuT3UMYjWJ88xPhz46WKsl7nuTktsL6JkaPlCK5TFfvu2rMEqZOmQ79aXwYCbK
cLWlUf+BqIGWBXDH40s+Jvnn3mrwEry/R3anSBmHpJwAbgMoqwfNmaOEfDUTCXhj2xz/zMPxQxc6
9Zf/MBKvjgofbdHgXD10ZaY0cWMBpHeUKDknemQG1PDNYNLKoyB7b+MvW5AWPLXhzeUph86tXSQ+
MRbGM9B26/zvLMzUwPKi6dmpkU+5PzXd2Fm9BcSBBwsKS5uXrpCzjR+jl97Ajlh/GFOhf6+BiX1W
Kyv/blW5+DpmdQosymlE70d6qP+vxFLuN8z0kCVSOwc7e+KdrDo5fV08osSAUhY+mVBUIplL9LKc
/m+IzoiSIdY62j6OKDWSGnppwewr8Oe8P6ENYpTduLBHcAqBUYdW2dvdyFvRm25IVarA3O/GMch/
VuS9P0oHMn5gzqY7+FGj45dMreObMbjtfPAo7d0ltLMAHEPQoem0+gWozI1Og/IjADSr/G7YkRaU
aTQeFBf3Tt3S9CHjBUmtrVF2epjK3kpd8MYNitx6ErfXMc6/eRgpPnj62ASeF+sP97/t3olbtCIg
QAPK2CTaM5lnG5oAj3tH+YHlg/ZSpYl4gKDdHdQW944BBI7FdQtZS4KVt6uIgH+LoAORijKryl+u
Ymp/G2DEIx8zv/J5gDR4MLW9p446JuUKLv+tPIrw+oInENSgI5rqI0diCrwYn5lKcU0fByv5u9Eq
0znL2Lv3P+p2IdHAVRdZaZzMyVDW28Voy6Esuamxt8zgjCGdjYYRqoh12ARjhygjlTJxsHu202VQ
8viFEAkZcl0sntGLcJOEauZi+/mgK+aPAU+GIPslbyky62MbltZJ9/ryoJW9heLidgl1GqYiESj4
sdV0XQzGmnigr2eCC/1DwZPQ8ocYrKYvbCM+w/KOrlHSgKeW0lPwUYdM8HvYtuWHupgG3W8JYfWg
7TNxdPVuWTzLT3N0kLEOTPJNGQVMt66TFJLPWInzu1OPEAYx64vDk6X1xb+aXZSWD001+dhOsviR
Y3irXk2pG3+mZtnPgGPs/AiRtXyOt48rvwlmEd0RUj0qam8PglaOpZJ1BNNq3skHo0/Mi91ERwDp
7cGmrLDYsrrcmBzvVWLgFAl614j6U7nKrRvCTa4IqixeBLdNbK0P3py9zUcKBxySYgRd/9VonZbH
LpAaAljsGJ/yzFJ9T83GM8kkmCjVmC5dVJpPpivKg1Bld54kU8hJuiCj1kivGuBzBxeOdGFA/Kno
UZpuap4x2tdHdlV7k6QOSGKsspU29ZYa1ee8z5dYLxL5o2jg4QVF6Cnmyc2UAm9ItGJ+r8O2ekpm
Axmc+5fK9v5EMIVwBQo9tdFN/BzhSIJlNNJ2tTG1wZTF6WcncoQ/l1jrmnoqDt48Z+8Wg/JLdRva
5BbjE9seEmRlL24tms4vsS6HMoCHXEiQAk0enySPExYaIOzaYC7dqvIzPGH+dlKvdc+LD1z5mKTt
1HxZOOPGM4BVJfPFEA8femOW7veeLpY8UzNL8peZxiG3YhfmBiIhuQV2107H8IpNUIzlKTgt7yRM
TFGQ1fJa45z3qsB01AyLFmPQuTP8Wfb1y2AjHuU3c2ijKKVr4VMOeEMEpTvb321+VuSroi5038xK
8yWsOqEGuUnzEJdUWX7JnDixT8OoGOXZK+s8xiskQ5bYyRpqZhHvYu+PZtZbV2kasx70IA8VJh2X
ZVBVbTP7PXZ3Y2BNdv/DUijZnQZrdKargj8xhzx2Jyco2lkpA92SC3mxVYrhNKstfad47FN7sbTp
9VPWhrZ70btYAI0DITpyfoVZYU2ej92lk3ODq2iVG99ytFu7lxyiHN7FY69+UpvBif0utHs6H3LQ
jC/v3oSkBQshnDIAe2LZM68Sg7GKcLyreFPTCtdhVAHzYELq5kPC7/5pR07/9f54O3uQng8qPgvw
hi7dEhq+Gi/XylkqdZzcshLWV2B6z7ntiMwP1cj42Rdq+yXvAT/cH3TvSqGd/At5DNN23eQFJOjx
PCOgNSWRcaJ2FZ0VYuBrPcgjM7XdoWznl1w+na11UgzuH+lNOwMN7M35hVsaF/XUCp/aUj34knvX
xzIQgFigt5vg0pqxQMlj+KyqV1mogDZ28oVMC9XV0ZU/rBqZlftfce+Zox7uUMiklLOJLKUz90NZ
1/Ftyh0UvZWQZvY5VLgvDt6evZmh3kIhHIl8alTLtf1qj6h2Z9MrMePbrCZNMIQIL3UawlKUHXsy
mOlI5m9vzWhyousNuZLYYvV+j9DLBRbkdHLVuboOY1OfyrRvv3TNYR6+O5SJqI8HwxL43kKMeTW1
iNe0V0Fl32y165+ihiRSqwxs7hYj8/vLtTsUUDo4Nja5h7X8/auhikkTc5aMfEWsp88KQtN+HYnm
LMz3y3YQlC2VLpA39lJiWM1K2vZoiCpddsZou4g9jclDrethSJIJi+n+vHZuEI2qPZkb+GzwJqvV
ik3gzblqc2MZLjLzs+d2fo7gjZ9It7rKqcs+UMc44vhsU1Z6htSEoFoC3AB9/PZrVhkwmFAlHspH
M/5BW6o+p6ZWu35jjTPcztFABEHavQkBkVr8twh48GHwu3zHVaAJgXoR1ODEc2EvdYJXS+qoDe8O
7+cNkWA0aAx0fj4o3hAVfiXq7NmBtZF/QY1NQ8ezh80WaEpefctVNSe+iMuhOFiKnYMKApUMhdWn
CL/uNo5arqOBDdDDHTEAoPox+02Cg68lmvRsy3C+3F/6nQbZ4pC0WNwgYIlz++oDeLxM4HgImfCE
0n05eeND3S1uO/gAnFKrTh9sB2EVEyLZOZ3nhGJzF+LEBX7p/i/ZuQsBYSyUTGJj/ln9EK231Dh3
eTaTLOsenNCKP3u5Gf6X+VJGpnlE2xzC1+pgNbQ7W8sDqJq4sr+obu5dzFqYQeXO1lPbu8Wj41Vd
IMmDgsZC7ztqNf1kUmC/3p/vzmUCmoey2oJOhG67mm8WonjmDCBC0I2NTiAMuUysdA5sPT6qdu0u
8uL+icA7RLfNbZK3WGPkqYHIe1gb2MSXrWudBlVvfhIjVh/70k2+lXFnPVhieoYg0ZPqFfpjK9r2
8f6sd64aLjSQfqBTuNzs5e9fnbdRtwlO5opZIwL4QAiW9U90t7pPdhejX5aaze9UHWBVv3tY2GFg
tniO4IGuy2ORlFToqKg+asVoh345u0ILQGwVlwZTqiLIW6dQ/bZy2yMPwZ0J29zj9pIfcKzXJYcK
FW+7l6n3aFrSuehVUTx6gzNeFTMun5I2NC6Q5o9AcTtnaRHoQXSAO2RbDTQQKXZEwaCxhuQ2GJns
bPeIHNz/qDs7+JfSIRIRi8r2mpAfpo1LnxBlykRzqhMWKdGpMY1LO6hHrhI781m4WdQDTI3i2Dqc
iOYZ27GCC7ECdeGPRqN/kqBgD26gHUQNCDdmQ05CpW+ToSPzY0mpR/ZjPclxCAZZK6AkIb4HwxDF
ykKAtc0XFQhgfDG0qobFjcdN9FxT2DkSAN35uCwdNxSao1RCNi0+hMPxnsGkNCRZvJSYz34bUmfh
/c9HiMadeaNbQ6zB7UuBE1Pyt4eSqBdDGYEyrV0483PhhfPEO6dpP6CJz3WQaF4tz1U1h78hBAkf
qUja/qMnG+Pn/Q21/0OIFnmQkFPZ9DXduhd9xw19w/05PJVuGQcNvm6xT6EshJHRapdWVFOgx7CX
83jUMcEx7X/v/4rtl+drAEKk2ku4vCmlI5lrAZOrMIJXkeOM+D3+yLUS1JaVH5yg3Qmz0bgheIHZ
cvrbL19BbBF9hHcVfhoaN1JUJ4Yf4zwA5hr0xIOwpC6vpVCVxHdC+NuX3IqaG4o2enVwRe48EuAu
mS+FUZCDCFu9/S0M56XSwshwaFpR+GlZ2b8lQsk+5FHV/5MoRvxA68n8MmXNBKfdyedzqrQmBu8z
AucHX2YbHL79MesPo6kkz/OEbnehFl8EUh2pP2iT81wn1RBkk+ae7cmFYutGn2AwTO+/CgiFNAJT
YI8LXnP1OtdtZXT9JMQtIUWDW0uEHxTNYPwYcV1sgyytvA8T1LJLhC7/F0cqHp6MpnIE6NxefPwM
QJqLGgjI+HWQkJhsxshGTz+1HPmQW/akBDPmwd35/p7fhp38v0njF9wirZX12pfS8YQy4AnamqPi
R04CLtMqu8ts4fEaUa/8fH+8vTNmkEVRWgYDDyT27V4TSEph0T1yu+WVcmrHarwi+NNB2TS8A4b4
3lDIiFOLAZHJUVtFHIXbR4U7cKcsIkZ+RFPvFLlz+VdbYA56EL3vjrVIj5FPcIGYq13jJFaRFwUW
8zIRrW9lgCKtVh3BlllH7bbdoRZzAjjZBDS/1IhfBVIFEmraKDBg7jNVfBZOZn7L7aH/UOa598f9
xdrbhDyLNEqX8Jxy/NvFakOlngs7iW612Q9nswqVi5NmR5pM7t4wlMuoKgFxZ1YrvJqRR1YZDhOW
bjjdxRcHowL5MolJiz5JS+u+o4+Khn7uzHSf+6qWf8coiSTXPgqLNBAlkm8BD8QUg+Hzkq8IVLQJ
bhfUiv1aTurPEXoFYoXhWLZB6TRxGtiOzMxrQ2Qxn/p5onLZCjv6X4yrFEYwdR8CijHiMQnKJoP0
LltFkf7sWLEI4Ny5/0O8PyQ1sFCbRNpqDH0qRNn4sQ5LtrPqjoUMBk8vyBmTxnEeIletTRxkhF3w
pGZ4KplkwMiEdXZz6uU4emdy/hSfoREs0Yuqz+63REvH/HlqPYlatibrM5ZX6Ji2qWY+ZE6Rgw9x
KpE8zPAr/rIzUwv9sOiiEBGmPp+vTgYJ4qzJsqs+Vpgbu8+E+9NDFI0FngQmwCtDKcFET4PS/d64
2eK+ajTNT9JbT5wVtUpf9FrWWAoM2HCiWZPI7ixVpXPOYRh3td/kUV36rdpGv5Ew5QVov1hv/FbH
SNMvCm2qgMk01M1ixSz/pvYfJwcPxc45AA20NE3RlKECuopdwph2sC5wB0/MIXtaHANxX4mAfMxU
m8XB+V7+Z2+rBQunBSlinmpkqr3lx7w6dGHTlEZU4Jrj2VF8pp8w4lMbz6d8VuXZBtFe5Fl80hxx
NPA2iwA5QwViqaWhLrO+WNAx7IzGwV0G08j096RvlO+DNiRuQJIlH8c85S2WVWQfzHfnFYYgZVGk
gQCpIpf2dr4uxJquTk2qvKJsP7p8lIfCkB8H052fEs/8h7amcm3GnkJ82dUHF/dOz5Rynq5bC7SB
y3t973jWrJm57OIbVP3C8ws4+9dJUAbyO6zgH9rG7Mub0YZ669f6nP8Fzqj71BkeyaSNm4U/4tR1
jUV35Cy9s+WoVCyNJpf3awOgxos3n+NGBTVV2gLxD4/8MenG00hT7GB37607ZCMuXbIAnpXVhosR
jtPnpBE3N4/tW5LMqNh6+b/4rJZ+0nnemZ7xUWd+b3pcwdDwgCEsNJK3iy6SKc8GN+RtRm3+wgWi
PYaNoTwnitYdVGP2hlrkDQgEFs3rdRiQSuBnBFhsa6TMfYvez6lvtP4ypsV0vf+I7UQ45MN0khmP
PHz9JUOETwGnYAdeJ1No4FvvRc8DMhCStnsir3GRoyz+7iFpRy79SMih9BRWpycqsQHobBd9lrQS
54SW/1f6T9HFw1aZ0tqoHByYnc2yNHlpXqDhvS1tlYkxUMFQcCn0dJ7obvytaLLyL3DZdjBzTfqo
GE3/4WYCnMyXBa9CpWEdKGfAwR179Mgd47oLml63PypTQfI8tlmA1pZEv6VqDrgvO6ECaQq1atQV
FgeQVZxlNx5hnU1MN1pl4voRJUm86TgQzn9YwiUaIUYlJwUG9/YsaFFb2vhnKY9GO+c+DQ2BH2Hp
wrttpmsZZ0fOTbsTgzvJ/YKMK/HW2/HCNMwTR44YcqRN9RfOcF3gptbRRtk5doT5VN7pplEVWx87
Je7nxEld5RFBbP0KfbgIyrlwsUJorPcfO5hQ8HMwQuEqcVeB/jROXocYkvJo6lH5MigQPnLD+yNJ
aveMGPuRbsrOKX893FoyIgHDbNMfJncXXuwLYWnXySjkCa1h/Qw67ahcv/clAaPxOFoU/zc6ZdIQ
7YS9qfc4Idfv61pX3kSE0XbXK/IAlbw3FKBkHOI5b+Sl+tutMVXQOLTG9B5RAVjmggOHWY18RQyD
z/cvrl+NrFWcw1FeAGgoS23rMG3D2Uod3OHYH8WDPQ4YIYx1Mjy6NO9fRjUkrhvSxkvPmWclPxsU
7wZ/oPQMUKmbOJGmMbnzgyyMhVFN8mz/hgz/LL867WjKswlPUQ102j/1KUcRyPokkPy8ukVqfU/+
j7PzaG4cR8PwL2IVc7iSlGQ6dLvdcfrCcifmBAJMv34fzmksq6zq3am9bDBEEsCX3mDLbo4csDl3
ed26H71uc76izUru7rpbbb2jKeelR8J896uvrWaK0smXDym1UPbDJ/FcQ3gffQtYAGBZtGDdWMQe
GHY9nLXUD8LeBiIfBuAq/B/jNkn9kIMZ/l4oIdewdmbdTnzR6nOUFvr0DeHAWZ105ldf6McRpKhQ
6jK28pxKSDOyKpy8cQV7sHrln4bWOZOjtz/GhZyTNgT/7PXrrjLw8rtvrlu6RY9hfG5W7l09V+jv
Got+2AdEFB8UzRogkd+1jqrN2ytf2HE0XWEOQcqH/Ht+TYwGCZQ+4CInUqc7zvwv4jof6feszvL0
9lKXGmE7jIAUF7US1ttj238ya9ljU9h2Fo51m+ferNS2UMS0aiW/Zgdq9aqh3LjOkchd+73dWs/K
qP9aEIvG445PZzxhM5Q5HxI0VoHlRQsksZE9zj3AeKNUeNsnS1bblVD9+p4HNb6nBgxDdlG1s2ux
aezWy1xG1TODoRuyW+2mrgb15+23emkVHzkbnyUudFmcDQxP35K+L71v3HfrbCe2VqGJ/vYyxutb
d5dH2xtmBGOSxrNERy5DVylwVqD1fPXBAOLyXE3L5kZOu9RTBMSaFjpaUPI91az8XOfZdloLaLHF
ZrjPkFeLn+UsAsDKev5pHRf9ZmY7f77yKy+8DSadkHNJkWhzn6djtGt2iQmkAqctQ+2BXg3exipv
/kyaj2AHSj92aEINvF/bbKLubbZPzVbNhx4D4tiZPP04eQpz1tzdkrd/2uuDtk9rXKQS9xwDXaCX
mz9XW7H4pZXhyDpOp9puxI2TSidqXaOO/34pWANAfk3qZaRzXi7laz5jsHq319OUHuu1qk5lO6SH
2qqu+kZdeOHA0WFiEEbAcp4P+FvSAhBx5KMZpO/niRZqE3a0GatTaqn52XVy2UeK4jULBydV74G/
TLtXFq0dl7aGvEeBbT0t9jjZQMLo9sTLFpg/eiBezvvchywT2uW6Lcc80yWtPa3DaXGYrPFTVjfF
V180MxJvjHlvVnMp67jMUmNvvXTL9wB5CBXrjlKP/Y7Fji136+n/aMbQRE2zVHlkZE7vQJ7SrWfJ
DIb2b905yB4QQ/4sCAL6iEu4mctAYi2HyJwWP6Ub3RUfh3y7ahJ8YYfskEoqbLrRjIT2//4/1yMe
elgX5F1+2/gFehN4uB9MYNsfFuuqQ+e+2V7G/n0ARteaPINmx/lmVEHtWGlA+Yca+3dDWflp0xwZ
oZ0rYtMf9ccANkTcwOwLi1Ze09d8XcPAB6ThwLgP7WkGmC8f1ABx4KuaxrCwKj1uRCBjaMhDhPZ3
+mDCCwHWOJRXbuNLj4wAEpKolPW7AuTLRbPZayrNxrxz0Uv/IJi/JNLF9jqy1Zw+tSnKwSHErPSU
9x19hUEJIMJvn8tLd+hOWtrzZOYN9EBf/gYh5LwGqZkmrZIV+y6om4QxUBr8WaegM34iTV+ocGLw
kUhQk8WNNuUExY0xunYQrW0+zlXpfzG31vljz93cxIs30bxHe+4acuHS62IYAXSf3tCFvsxgg+Ly
RJo0+PAOICfAk8U+DhjYldK8ckNZFKYHd2dbxE3vZrn+2ShQ+bvyyi5cL2Cp2anAZcBVn3u5tYVO
ZVQJ0hMrWKPZdOtHu5X9X1MydluWnSXHYNgAIvTyu8iq8sbCxQV47Qt9jh0tyJ+WDKWwqFs7YR4z
Wfaf3t4LF8Ipmx9PCbp9Oy79LBxkNTlmNco0sSrXF7HQevc0NtMaHMDpBB99hvuf315xf4izMw9c
lf2/o2+gRZ1tvtFIgZ6PWZoILsSBpPogLfoFS43G5dsr/duPPVuKXB53Urzc9mHT2VlzKmxuilVq
yby42oOdB7UXUoxuelT0y/KDDbcZ9I9LEwRy3zZrUqFT9GOmd4MRPOprz1ZqWUMI2y74nbrm2oW2
5hoPTjU7j61lLXM4YsdsRJuho7KuNZo+HsWktc7tavZ0zbyRDvpvY8RRMzKzeSEHSPssuOmdRTyp
GX/k0FyXFNhbZfafnWKkqUqRhGdkOVBKHqZpmIAgpEr+YNwyW+DUNPvTZGwMl0QftI+oAllJQD+L
gkVqdvDE8Fe/a0lJjNiebLd74Ppe5AcmVaCsUWnBbgKrSHDfkz1sH2xSbi3y2wDlV9G0mrgpqrZv
+U8GI481U9h6mKHYdgqgo9YfSP0B9JjdilaE8DEGiHSr91BVU6auIrzW1PtBl6Khe+oxPM1r/bOC
S/JRlRr4by3XpoeiHvos3Bqu5GhbQDeiaOZ/tCwKKoDbk/fOAgv2xTfGzgc4s3hpXHTeYB9zpqbg
3Ldy2WIEupYhbMTEsCuoukxEkvcyhVu2MksZ2jT3Yz93fe4jnJBVbMmpVDFsCL1GkGULIJgsHcro
jplpeuhVffsPTIm8IsDP5Ze3t+DrEIMOPxR3H6abiezXfq/8J5ZOQjo+sz8n0WkmH6RmFt9qoVdH
vZnSnaa3HNfCupZ3XShwWHXXiaOOg1N8HmNySTHjOMJNVuSPvFDYg23Eg92tDjNJAP6hi7Hy71pY
2YhX/O5uHpq5QIcYwlI1XnkFr8/7yx9z9gpw8OXjaB7s/gr7xjaVtBHcwTwsup/Gf/22/1Uah47B
UNQ7x5Z6bsPBmk07wQYhj4D367fK6fImLKstOG4clAeJZPZfl647rpQkhktmH5jsV+x/vjHMPFmo
ZrKSiWvzlLr6ECNtADdjzr69/XwXXiWFOVAB/rULDe7l+39WKqTrFEU5GYkCux0PSDw9ST3X7wbl
5FeWehUXmDnwEg3YBTuq+jwJZJZX9JOZBUlvak8br/XWmMdPwVgEaPNb2bWgcGk5JMfYDHvr4dXY
12jt3RijDBLyZhffPGlHJBNGFJSpFdnNds1O6tWb3Cdre2VC3gkiMjgLe/MgcifFFSMxUq/5nE4y
BV+ldca3vt3wjnr7s73KYfbFaNghiUA0etVotRWoG2wY/MSpiiK9acERObh8ms1hMN1RRds6LFk4
NcGQcUvm9ftRbe2VLvalF0y+9y8Lcpfu3V/If7bOZjKOMArPS3zG1g/Zanv1aQJtOpDb1+1dzxV6
JbP4V9vnRfTlsUlnrABlR3bteUlmc3s3AHuCJK98d7wZjLHGcZgZGsRgaAoToKrch41ZOHDgsGy0
YkNO6a+xnc1E4jjj3OV+lX3ui3wG39CP1Qi1vpbXel77/XP+M2nAMNYFIcvE5uz4av5G+NFEkAzA
GD+Z3VL/9ibrmgjvpQ2HNx0jVXwFd33cl+8/MGGrKROUpGiH5TuWFi4Yq5UZf4ZC0ue399ulJ9pp
YkD6aD+8OkydFeDCxDwjQe1kOZATq7uiL8wrl+2lJ0LoZNfW3mWGzo8Q2V3TUKywq5EtjyqF9i79
1T5MA3qqbz/QpQNEUQ8uBNoKkfQsj3PncfNrAOzJaLR6FnrOZH3ridsflGrSrzWohDyC6iZIXdMF
BJ/L2GS9UgFcOkAA9VAe22n8PPTLD2jUs13LcsXmHnxgFm2o7HmQwUYcbmqn1fTE7LJrz33hQ9JK
49RSEthcxWdrrnVrkJqbbkJJg41X2ww3WLrkydtv91/I5dkJoMIiT+Fy4kI8H6vZwvC1Us/8JINg
1Y9xt42zOJBflB8bBAXkoaSQ9WNjHEYZ+62b94fNmGvxaHs+EJqtcLohGhVydN9FPtqPKq1yLwQi
nmURYqtyfRcgi5O/S728+yY7R2p3m0IYK1oDL/s1IYNNjq212zHb8mCMdCczT3aqeUakKnxZwnY0
rDrp5y79Iluv/OWrqvqoL5Plxyj7rP6NaavaiWYxTN91bwVjstjz/HOWdncN3X5h0zsQSYB+7IIO
9Axe7gJ9nnyvmrsg8XwhToaejcd2srRjJ6v2+PZneZU60g9hNLfDQpHeewVba+s1F5i8M+4h144A
gwThaOdlDClkOzlmQ8mEjNjh7UX/1TQ42wtMAKBika2icXq+5Wjh4nSKbGKCRI92pC5vKQeY33zs
kHq9LUgls6hlpvewTIPzfhur5kGjofFeulWZuFMAh0Rix/w9QJo7v1LPXTgODm8dvRpo/Py6s2uA
wOVsZU8vwNTc7meqOduHNVuG/+e9U07AUTF3ovbZKqU1YnYy+EGidWjUlQgEdVFa57a49yA0qKTU
xu7nUFbGNdnOC7fc7ntIgKAg2MnTL/eWMGvRi3JKE4DJjHoCGcTbEqQIBJftAbN1/VYudXCQRrY8
1W3+1yhY9hvtB5JLNjjOlmdbexuztcpKLSC5dFTSy6CItLJubmqhetSsjPpeBI06jGo2j33tmH/b
F2N5AHnMYwJSMgiRL59+NVCbNoaCDND3xZddzuG9Y3U6r95Drc8Y23gw6jGkgJyjBf+rKyHmdU9s
bz9yzuh87h4A5wkvz7v6aVunib2zd5HLG9vH0q9LI5ZqMx+XzdRaKkQx/C63OWfjVd4/g5PbdyA6
ZuOkWZu13EgGmd/T1CZJae0ie1xgR/dXAtGlKwirW9BKCO5xEs6+0yoqj0EHqWtbiOH7YpYeYIFy
pQ6frWy+EuQvHDmwbpDbmTruNezZYfCyZdFERhlggmplUiqdP+6iq3/evnUuxFbqJwACwHRp1py/
+zbH40fTOgJQtbk3KG8Zn/NVyqOe2poeSTyk3l7v0lMxD9sRHagcv8r+K0uKfhZ5kMxVm55GYyzK
g9co0VypDF/LXcAgBmNqYYSxj4PMs029mUhxpPhzJ60h0w5p89X16UEo67vmS637GKTr9GM07SYP
CQTy2awLW6Mfa9N79tqivy29vpj+fgO9+FHmy5NWZIVnLt3gJ7US63ErhvSDWdTZYdDT7dqp2nG0
Z+EEwo6NuQkX2p5cvFxrsFpPdL3uJ4udqtOcg3sqIOeGXhf0Nw23TQTRwgo5MkUk84UmlWrr6som
vnBiuNhsuvx7V4TA9vJH9OWwVVo/kuETbh9sV4OPJroUV63avxI8Li21s82YUKJD/CrNb9UmVqdh
Z3W2zP6MclKHdFzkF8/tPv31HmbjgtXfCeTc2GfXgOHQSSvAziWjM9qHJs26p23MvStaMhdOJmvs
gEiwy6/bw5vP4NIRZL1IUW1f9FyWN3OQzY8FrzqLqkC5P95+rP1nn22YnYKEvzUcL/QTzy4cWTbS
y/TWT7oRmHLozUPxvV68cvmWGw2QK7sL8udN1OppqaHoRhMaqtcOyOv+Gfk99wOuawgBoMt39iMQ
bfbGoZ29BOXP+TuzufQkRO+MoT9ZLWbplAB5CJmv3RhICHEHRmC7XX1ttq+cn72hc/429tYS8Xif
Up1fv+uWon2ldCcJctqfmcIK2XBmfHwNVI6bvpYfVrVpkYOU0JVw/G+8PV+aRG0fE5EH0gF6eWi8
fqu9ORvcxPd6bzvYy2gfB9y9/dCcTGu6R+SyF6GFGMRNF1jpp1x66acy8LZ3iP6n147whWQ4oDSn
fOYS2cmNL39NSomV13XqJGYjxjBP+T7hDPEhdpFFORq96A9+I7bntzfjhTiBRKKHkiDA4NcEaS50
QPJD4yaNcr8P29DewUX4a4dSNhuqLjvvDnDqq4E8ZWUNwZtHk4VQu0n0gG74qtYfm5G6w+HtJ7pw
P6FeAPd+J/lQyJ7dx2mZQb8rV/rRZdMlLdItt307bHEwzvbfZ+t0oMFpMtLe5z1nn0zojZvW7uIk
dHFAZzS9PK66U105IRf3KUkrbHLCIiKFZ1nzojfWnK6lk2z2MlQHX28blH+aunxKB6NE2H8zynuF
V2oVYcGcv1M90KawXea6jlq9QZH5798wdG/0X/f26auRdrD7ldRrxU41u/xuorHUhTO8uyrWJ99W
V0LbpR0KewV4xW4q+qq1SK/SXjZ/dBOcPuxIMkuKJt2u/z6qUeAz6QWXRR5yfvrsxfCntmMVxviQ
9SxnjiobXyLQN9cc7i9tUAjqxLMdF4XU5cuDjpRh7/QtS8EHqLC2nJckKJcgTjNhXPlSl94dW5Mb
9F/Q9HnWmRdC23oIoonuac3txHogHZf+yru7EEzQW2FGC2wJNSzQyy+fKKBV4sMH58gVTfBLLqud
Rukm5Rxu7orUsQE09Rc5kovGUbPVoZtjRhtb9kxT6+2t+TqY79ZmgPt2GVmy7bN3O2ZMzP3CcBIP
ENXDVFUTyErpZlPYt15zb67SvFY/XFpyhz/tJ2HvL509vAtitcjIkRMTptoNvKVdEQbK1THrluZ2
sdS1bu7r/UN7AFg6H/VfW4az0E0TfWosv/ASCARTXDYiO9JPcg6t+HufUuTrIBWC3QNXB0j2bClr
0fFIqhw3qTW3gTWt13czkqXHYSz1KwXL/ppeBuN9KUYxHAly2HMhCTIwBs116iZWL7yDnmJgtcrp
2SgW+1CVHi3R3E+RzhowaFjL66C712k861P/7fx+1wXN/XIP66Wl5cB/vGRxAgEGIhMf9akw7vQp
HU/GYMynzRKdCqu0NYvQavP5HbI117AKl74tdx3dMCArr8vECapc6diZl+ij0RxNyBWRba31jWEy
r3/7qFzog+3gQr4usWXnqO6/5b/zkg6EMZxvNwF0jYAqAmDmz7rMV4oWX/tUg2A4aU4TfBRicZNl
aQsjVNA077dan++Ebw0nVUzlk4eH75+3f5rt7QXa2W5geyMgg5wgwsPn59gufR4dzGeSVlkwPZN+
9faH2akNLbI0yxuO9uaiYOYhWmbew+qRIKVXbV3DXWHNOC65El4fts6AXFdRgQZ0P/S91o79vVPZ
TvVIxj8Wh6Hhz4eTWLoinLxq+AOWze9+ry1+VcfBAMF6L/W2NO+HgOnuJ6egIgiVs8z+rdlNGXCh
Ve+2f/I6GNvIHW104zQnWMsDHbCsfAb0M8zxZK3KOmme1Rg30jekFQV96toR+t4q/ePVSDGAOFgQ
Y8PpyMvKh3GaBRKl0NOXeEIznnBkd+q5dvOyOoLIB8OVNwjTRZmGvkjU+qqRMfktM4kRed31fV6a
E417LRjrcBTlcKvWYk7DAk7CEiLjj4Adckjmo190TFDEOCA+U1Wr0USmVYzknsCjfZBGy/RDON3k
RlhTqjzWB8X/UxRp/oh03qBuq2Iw0pssHXTzMBsbuO0xC+bxS6WsxnRjj+a497zNwsiOrT166aG3
AHYfFr9YsYYAQ7vVX4Fn+P39UhZGezeXztodRU1J8GPumkWPgLe7U9Qupt0dihbrpLBD9lN80Ote
q9EZ3dbvYnBaO4bpUX+UqNBrPwyr6d5lXWXpMaz61pmTcRuNXobKzXT7oV7xqokG21rud24UaIpJ
Oj88ZTrpo+GOdLtRuBu+Ou4wVTHywoDHDJmDwoJZbeohSmmo/qI7ok+npUrNL9D689+GpQIyLnNZ
7psBsubJ7dk+TxBwm2dGHN4Q0q2v8hB5GOPbmpra+B6y1mKEwmildc+cx3rnTO42oxZll78U8qX9
lzyr6/VEv3m+Rzeqax43QkJ+KDLHLMNyqlb8uBx3ucUkZ0qP89ZNX5CCMYN4NbX5yUgd507XK+1L
sPIPmsXrSgwuvCZSa57+01HWOaEu0mqKZ7luKCIERusFoSq8fIugmXTPDbPcLMK32XoUNDmmOxf5
PQQNV54xtBplrdhJDVsW5twvn725lc9y9JUZB03J5EIHr6PuqlQ01qnSCkvdFJNqf0O16ue4lW31
A6+/agirwBFW2FOOHjfpFs8FsiHfG8/QnNDVayS0Mm0OPhdjjqmJS1dahdmklg9ar5ELlmVfjGHg
MJwL1eAWxtEG2BkckTnE80WjDI+XNGXGmk+eQY1XNG0iSzrBN5XV9Ck/0i4eSrGmv+TsG0NsGP3y
WWWrm8c49PiPLvpx7RS7YrG8D4uRNnZkFalyjkzXoSsIu88l1Zky9K/WiLBeUtdu1t0JGBGpFglX
emtsQZsG2Jc7IK3afscjCtujvp7HPEiRxJgdMj9lWdqTZ/eNd0e/TX5uJHO+Zx/X5TJcR5XmD4Yo
DffLUq7VDckqcPqiy0eQunhhzfJuqTIrfe+ZRSEeSqf3ugiFyeCOSbksD5kWrA99oC8/pnKjBwZx
ANOB0hjsD31eSf1xQ6Yp4CpEG4abtLZ/GoxAqgi+arDcWv5oTycGkeP9QiPADWu9BVDTofuCiiRQ
bvlYlAtIynQahjjYIImEqWVMIM9E2X6di6GA8GCrbYZeTm/uUfVj/U5D1z29mdK+mg6KjlLGpmtW
B/m3onvqu9YAd7zyxgZnGz6OQ9XNX4xcpfUBI0Xz/aZk6UF30fTvbu8P7xHUlTbylqNuwO3uJKxW
2lJriLr15oW+lN6jhzCaDd8HZbJ7o0dl4wMMPvltExrnw8p88SAwkh2OOfEAsKio/Eh34elEqIEP
a+RauG/FLbKG61fsrypMSy3gbHfdZhT4wGRL0X3NtVEaJxuG+sdcra135Nv6wTuC/aoiN3en933a
ZUsEJnCeH/rVA4qGKownY6sQW4VUBAqAYV2sYxPag57Xu1PbNBzrynSzY9+SThPiDFUfLBNBfBIS
ozs6jSnKqMgm0F9TZTo/lb1II2yVWSMATxUX0shj867YhoXeWndPC8iXH3hTF789T1iPdYN2DHTG
tvxVjGL+pVeeW8b9lI1eOMMswLhbrfZHOuUlyFRj0yHJsP++EpDHJsavc/0nMIb04+Qu4123tOuf
xXcXpsb1qj5P1N3cE+0iZVhgR/J1NrcaI8xa28SxbrB89ayx/6dPjeIjveQcw5uq7g8oXxoYYhST
/92p6BmH/F0MFvEu7v64PnOB21TPpy4xFDbk8Tzl+vvO16ohQd+5eLcpf3ajCkR5GsopcPMIQan8
M8LbvUdRwq6OSt1r+kQC/yxj5t7uei871/maAwlKMYdQnh4i4r38mX0mNihpYRzlQyZ8EAgg26Ej
HFSGa9fJ7u267asQVkuOTvsqRZxOI/eZU3kbrWApRz4Z8MAPDfMWppwyW7ZIa8vi59anm32gqMBL
yJb2+H3KOqP/uix+84XZ4qxBReoQ5WmdnJsWZyXNS9Ta54mP00THvWEF3+dp7X/auNjYB66iRv9n
nZbBOaYiNfBqyFfdPsihb9+ZGHL/Y6G+R5CfTfmgNGF+o58gt8ixRrWE1kT9gt81f+/Ud2vhxsO4
AHsJZb31/q0HV9qCGzZOmLWLukAWAtk3RM3drv0wb9ni0PpuahWlo54mpJLeN5dir4posaWf/BYh
28hfh1E8kkKaxJe66GHtBmXQxaumbT9bb9KdsFOYrMQCiAK1o+eu1u0iTb+M4eqvxmHR6kU/mZMj
bkZDek6sdeWU39emtz2JqRvsExbw7HFgT8sXUYOnjJQ0PRXlflDVfJGBgrsSQHOBIjmY5ZEv9O8w
ctvWGwf1UGr+LN0+yyznKQNwtU9NV8xGZLsz2onLajVaDic33dxfrRwH8fXttPd1KxSsyd4fQ+Zz
12c9K16nidNg55WRNF5jJ5VWqjmWegWY0VopgcJMT7O7EUno+1J5xnClALtQeiAThUAWWSYItfMi
Hra4XhPRjCSogz1Jy4pH2MBN2LvlNW2SC0sBXqTXi0I607DzWo8Luak1yV2McPUcZ+RRkZem480q
+79W/OGBEMSnqWMbdJfPK9jO0rMunwcnwUrUOaRoqx+zuck+vP3lLvQAdkE1GrcmXapXk91ONkpX
3ewkYIi1LYQI039ZuJM+Wuksji7SwT/fXvDSGwTYSvkGURxC9Vm1Otmia+Y6AJBJXnkwJmnez62H
klddXdMVvbArd0F3+BxYF+BiddZPXSaIgtgO2lw9nTEcNjSlD2m/pu2NTLXxhBqfj8+RnFtiY2/g
M/r2k75+tft4Yt+RdAbQbjh70qYaizbrOgChMrOPnl6kd2YNthZTXD3G32i90tOl/L1Qe+ItSjcQ
JRRAc2fHsCHN3ya8Y5EYzLXnHoHDFO8GfkXobsKqIyGUXkUS19opchtf38JqHMf7IbV0cFktLoCH
NYN2i4tJkFf87tJ/Nkc8kEL8WK0ytDMdr3OhE1MJFVaHFdGgB8+rJTb02XaJqrj2qiwjSTTlVzub
tOXr3A5mFfV263yb9MrmotKKCmDz1rsIN6ckbTqq4uXR1hoYNZuQPXnThKgMxUBfaIfKDGR6y19J
t7ve3m96MntDxHnPZKZCBHf236fgTtancfD84qBNTe+flqHOH0Wvr/Z3YViLhZGViU46CaWRRT0N
PxRhcgJcFtd9oDWhDkEtPbmZmCmOUmN8CoKx2/Wld7esd2VjYHYN1MJE4KNoF8YsQ6O5ka7LVMV2
YSGo6Ze6ZpxoIy9VPGmZgydvsBhtTBLUKoRa3KG7GTBClsfMNMv+3eQaCHnAZhjKzx46c1roo7Fa
3MFbHvqD19s9okMaaK0DOXXlfrYp4d9vCxj7qHSlpaJeldsWZRYK8qE7gm+g57Pqj0vjT/UDcG7n
4+YEZRflAazVw5RnRnMwgqzr4wXhd0DlDAfsm37qtudl2YwvKco+hOKm77N7zfDGNmS+Reyxmw4T
3KFoCnECxzc8qmCHbqFI0gTkSeay/w9RYjyYWOHA8aTZnYdrqm0+U8Cs1w5yEoWMPCSj6FUopxyj
tg/GD5rlN0QG4pg8anLgHURVt1qf2t6tsU1uAneWoaxUPbxr0mIQf8pNtF9dvcCWu3Ds1b8rDD+7
R0YU20hqqUpFIHfS20FU2LwGreajQKnX3XjfzObo3KyaS+ECVbv5grXv4ELjMB3OASCAr9Os3Nu+
X8zgNK5GCbm6ydZbWTuiC/vCSafT3JTGFkvXr7+pAtYfQoSTnYf1UlkfldMH/1DmlB+XYDDvMgaR
WqRyp6nvex+UbCi6VgtuYMirh9peoVvO1eaVN8jlj2k0VgwKjrIuSRwawMhdjOem6kOOqo7e0mD6
76ocTSNAyS1aYuOQtX3kTk33bNu45XEE6+CnnTX5zLnZevtAsqUzj8wy6CnoEhhbZEKEcVBN7KYn
pbd2da/XSDTAY1zTr3bTbA0q/H7xjRzRqyO3drZPAW3xP9M26NthyOrlU7UtvTpp0M0lsuTW/jfL
paiOlZjcp2yTO2ND9ySNoNZp3/VTPXQMPh3rFyXApj2sc6A+zi3KruEExVk/1H4xVNB4Vs87pb4q
aPc0WFMcO7Aav7Xa7VcYLgAFw8lqrAZTAWd9QvJuaKOcHqMZWtgYNEnQt+JUjE0QRBJF7i7S1yDT
I1L4pr1bCoBq6G7pBR9LSYjHW6CsLsw1Kz0UVZ8Goa65Q3WkorOo7nzgDxsMx6M154rphpEud8qc
ME9m8LA0MIJ7RtpeJ+dPUyF8RpyBOX4qReeZMbAC140Mh+qLyVOtwg3TqG/ZmNnmyRmyJU7LqUd+
jClOHsls1JNKWMt0aITAy75aQTclGJjjRmBMaflIze1+b0yViysh4vVUBVE/uPV0qoFyESVeNk5r
A5Y5wixWsu0tFEbBY2xOWXCtP7v/mZc9UJYBsEXQo/f+SgrG8FqKkqG0E5CxqgxnZxzfB23ZCs7z
3P5G8rN9v46tc6pyxEXDwC17d+eQmkgnWuU/b4fh11kA4FnETHUk/0hNz5/Z3zCY9uiBJFgcdfdB
Sn2qmaa6pe/nfaDFV6KjGKjQt5vq9PbKlxIAIHP/Ik4uTOZkPYymN45WMgrT/7CoxaDGWJujrfz2
3Wyk2pWZ2cUn3T2ggWmhInqeWtk56oZzP1jJnuqFXSC72B+s4lin3fc0aNxvlEgNvUoxHd9+0Nc5
HdLpJHQ70ByqzXkCrpUTpETLNRO3zjYksBwVL2bl09XS1ytLvU5xWIr2FQJo8DawK3y5g2ltVGXp
ZFYC3GGL62bMHiSX2XvEuctjZTHynFzPvZLJXTg2u9Uk2Sp9fSD7+4v/z7xhctexU1upJ9IehiRQ
6U9n1a/ZCF7YLdBQeH3YMOK+dD7H7ae8KxDY15PFkO4Q+WpufgSeJR/Qeg+Gw+gXzhVG64XPxm6B
usO/wRCdY1oLVyGAnllbslbcoLqTF8gotcVRaX5zBbHyeka2GzeD1AjIg2n2nn02rBfNqXOUkeAN
sh024Zo/dmmxE5w2+1agyBBR3wnEBxRVPvKpV26kC+8WmSgX9QtUH8BXnC1f5FXt1YxrkgkVuIOY
gPBWbpmSlm5lpGb7/zgQ4FL2NPxfwY1zfE5TMQlrpL4lkyn0qN+qDhnIYkocZ6qvgMBei+MBHmBz
7tAbXjDX+svNKRx3bh3l6kmTdpxsXfPG512+fgiNORc/gxqvHISxrLYPyzLQyoiSb5EwRYXxTsmh
guro6RM2yUvQ/nVxyU+jqkQ4cB+xn78Ge5Cjq8i9kCYtnCdhWesPY1rKKp793v7ZGzROrpzUC9cD
Nz24KITP/sfdeWxHjmRp+lXq1B7Z0KJPVy0gXJB06lDc4DAiGNBa4+nnAzN6kg5y3Cd7dpN1KpMR
JN1gBhPX7v0FDifrymCVwvLTjQRSBmiLfS82ozvNCoaMWtldLOaHTgdt9XX3+48f438GL8Xtnwdb
8+//4s8/inKqoyBsV3/89yH6QfKl+NX+1/Jr//vHjn/p3zf9S9129cs/Ds9l849Nl/98bqMiX//O
0UfQ0u8ncZ/b56M/eHkbtdNd91JP9y9Nl7avzfHMy0/+337zHy+vn/I4lS//+uePosvb5dMCHuuf
v7+1//mvfy5C6//x9uN/f+/6OePXvB/d88+iXv/Cy3PT/uuf1Bf/IDVjgaCCcoKmw6JtPby8fsuS
/wBOsohLINaFoOXyrbyo2/Bf/5T+wFmFFAupCZXCtsWbZpNdviNof4gSPoGoo1H3ZlL993Mdvaq/
Xt0/8i67LQgfGj71+MxcXBCAWqBuSJSCGc47KqUwopqVyLPgsUY3nZE8Ki3aQtmvnLtROgIVzbdd
+pznn1PjyjR6T9IJYjDrwhSFS6a8DeXaE8dp/2b4fj/m28c63q+WpyLLtNTRSV8QPrzaPr85cNJi
9E0qt5bXiSagIVQQnaFpLa8Jlc4DVHc2cng3DMB6wA+hY4lAG69iFRiSzY17jiUdIZ60EexKz7Xs
Gr07LBJ6RAsVO1DUusbLjN3F0cUuRgw6yYUHTl1y7JLf9Lk9wnu9JiEZ1XYWwP2xxU5riP7ERriT
qrD9UmFSVnuQhkySziDbqWCOqvy1HGeuo0Efzl/CuNWeEJUdg61vTVPp9qY5xA95A1DHy2RtJhNR
gIneLD3RvSbtGgm5F9IdW30Q69QurToyL6js8TbTOAfMrM1ye+83+H+g05DOm3KU8CSLZjPYCjrQ
NDcVOvzGUgrFmzALRN0uSoWLeZHmwzaqtEqzxy6PvwRapihcmkOJbFGcx4jLcmv8VoFYpuTdVOGm
JMintCTJaUN2AlCxGyXqQrjXRgvnGstvW8cKAsyWQMsicxD3Rd5S8wNc4qjAVn+YfjWGNhFqZV0k
4IFKJ8qIE2xYLwX1g2CYbhrF7EoPtQOGV13o+PYspIVuw3zKWi+gdufbCPhrodMJgqbbophqn7q5
qidnLExKcFyhuBSlg9TuAvwLriVBxrnx9Ow9PuyZvQRKBEkK4SBRNxmw4xNJ6OIoHbNJ8ciMNHsK
oda1nlZiaReCpAqQRkaqF0JsoQiXdnLpgFZBce30M7yf0Jy9iz3sskMQt600pBs5KM1U0iWvqA0q
YGnUokK5JMewpTVy0hqlMGSa7Y9ihYiDYVrN5vQDrM5l5PlIoAB1emX6s4lpqycAVCDU3ZyIHiZ+
yiPV4uYWLfDBnbqsvuooJ5OuDvINxSPLmf3IvMLaaQAXkuVcSMLADfvWOHM6HsexPNIiqIbr6UIe
WwLNZdt5s60Ygl5GkwhrJpT89GCpdXdDcrj+dLrnH7ZClAz5FPVrxKyOWwnGQI7jLpJcWRnzyynK
Uy/1Z8U73coKurd0BvA10wwi2KKFZKzSq1VM8q3w6UxZJOat1ZvafVe36oukBi6+Reo12IGvbM2q
W6pBA1ElOcfNXM2xd0+w6qgpFSKaF4nkDqP0y1Dz0i0gFTgxtj2IKBjOEPiTjVhIfibkW62vd+0u
cf2b1wigtlCjKJPcHknji7nUhYu4Up+qsCJvRv603JRxMP0EDIRKaSYW0+3poV+dTq/tY9mD/BRa
DggEr0ZeyIW4DCD/uEzqYOOrme8gsNlRpW7SC4OL4PfT7a1gxH++auJprrUQqxBUX4fvhZD58qyL
rmxhfiWYGFI1Yil/ClMd9UhjjPdamlh3WHX017OkjS+TnhkPWhoQ555+lPdzG2YsRS5SR3BIQAkc
D30hsjlPVBpI6Ey+zRqT78HaJmfi5uMo9rW/rFAZCxqGVwIKftzKYBaSUpS95MaqGD9Cfpv3eTIa
jxqCYja1DOwKgjD1z1wH3/cNbiNROjqfxNCEXsetdgAtKF8znbUSQbWYJJg394iMnR7B40vn0rfF
ZX0p/iArSly4LKo3k7coAm3idYquajThZszGalv07IiZFKffTjf1fp6S6CJXsBxEOFqsi3VYOxFj
ATJ257AfDrk1FJ+FMQcIWQqqV5TBOfWwj7oGAhRC1XICQss57powcnvOe1N0i6iotlovpESVQ+yi
bBeeuU+vGJGQX3Q2PZnbNLomBNbq6nQJDZ3qRhLo1MibfvYCKdc7dBi04rsy+VXvFLqc1LaEeQEg
KbLHO1lsitydgqqcrjKjJI/bBtV4i0m933lJ2QIwGyNjktE8EDiTT7+J1cjwtETWiDwtvoLkbpRV
RNAFrQoKK5a9KEVgQmmnwk3aeNyICrWp003JS8//Sj4uI0NbpgGJgpo0m9RqgklzN3d5Mslep3fi
00DJBCC1rzWf6ryzagc/M1O20YAh6RuNowJRKjDVC8mIh8kBYytiWoDW1wh5Zbaes5jDZaMmPvLV
2aioj/AHxNzWC3iBLg4QPsUPPBOl/elOfDBehE1/OsdC9l3XfpOE0hGZGMWTJsW8klPFvJjlero0
+qS7P93Uaq9ZhovdjNgegguQ03VqJK/CJql1jme1DaUtQvvznTb7DYFlXOMYkYv+o1bF3ZkdTl7e
+OotGQppAQ5uMuIEYsdrpehMkamYKV6WR819XFV+7iRkwzdS7ZMhamupDx1Sq+O+TUZpIGlBEcOJ
/RDeWaI0ub5r51pCyABIw0Wkx3Ox7boo2mo1dQSnb6woRxRHTrXLMcAfY4u2YxW7SEBiFZRIsXkO
S7/aPF+HkdIrZAX2T1SdVjM8N9sBuzNuKXIdtAerKy3XGOfQPf2ylh1kPWpIaPKikKthQ1uter/M
hgypZ8lDaSW90vtO/1mgChx4UYslhOJn1SbRBpy7OtV67DiYzhwRH7QPtFlD3VWFfQcG+/itZRy6
DXqp7J5BflXXymUpqxehUV0DX3zJOrWzc9P4rCrlj9P9Xu3ky+hacE5Y1FjqmIA9jtutcrS58kHU
vAwgLu6TdbPHxGSgDFZFCHcZxt8eZ5PNCj4bzD4TRZjV7ASrr1uoiMq4p3T1lVUo6QM04HyfcI0G
3haFimcJsrBVgbg6+NMgr3i6w+uQhx5z9WdtAKkh1ELx4LjHfhRR8DUqehwO/oNhZGbtTGD+cL22
WqxtCpJnZCF0pD7sAs+X2BHxbbRsXenzT4A5YQGdfqL3E5zcDeSGJQvA4LxjjIVE4UKtqB7f1Ryz
yn+ByUrPNPLarb8m+CK/QwOkDCkjiIuQ1qrbhia0DdVh0ROT2J9tLPi0H2UTSqML/99QNxmb+22U
Sxp3x9YwZQxwKEFtB3x/4b6X6TdANUVqG904L5p/mE3YhWg0lyGqmc1GiaNcJoVTABhXcfD90iTJ
nO2CxIxRjS0SMbQjwLvC5vTQrfkKS6+wkOM1IpPDZqeuppMVYASUR6rsgZPaNIFMIBvrgy11mf5j
RgOQwiO6f0/RNBpI8fVVt20LeFW2hByw14CMdtQo1+5UUIKfTj/a8UHDeIMSQfgK1ggPh8LSakOx
BF72lNSGC6GicgHEKKMtk8K5MwNJ+/w32yItS6UBkc4l6UbO+nhKd91QNZCZDdfgZEajMMhc3Nkr
ZzTE8czyedet5bIAo5xLOHA0PvS4KStUwYVPnemSTwKkPg6GR+am32pGatye7tXqns8QLm2RwUQU
FEqysWRK3wa0KfBbcS5pC2Tx9cxTsSF1vdNlkvED7m3twTcBHtjP3UbsLPkiBAhuW1UCNq6Ly02V
BOqZ++H73hO+c6hzsi63JnMVAcktTolSgyhQLKjTBryhRkJvgLVXT+fY2OeaWoW8BiKVcp7SVBQW
tTeR1XCMJmWjbJFhOj3Qx4HKMs4kKNGxgRzH0SOuvSnBUmaW35m6O8NguO3FevpcGAH6d+Nk3vVN
ILlJmitnDrz3S3dpdRG/o3yM8M76xKunfAqtHrz2hDjwQyLGgm2Nary35kbeIdBqOuDVG1sJp8LT
AfpfsacXt6Ee4agr1bKGVIzW38/gvv7+S+Zas2iikSZW4fAdT7s572P0l1qDWspobcqqnd2x7oYN
LBfROz3yH7xkUvEMvIIYLSW01aY8FEGhDrj14m5ViDt0KfWDbMnJNcqp6afTTR2fMq8vmaaWfP9y
zrBrrnollRXMnqWpBoCKhqOdLQbTue3hOHHzuxWSR0vAi2LjuhU0JupSVXzDDUcjjTdyLGnfAMSD
GaF2Pdu9bHU3oIPnSxMK3ZlpvDrZ/2wcchiDuYheICB13MUGGRU1DDrDnXWluyCT3m2CpFJv9Mwv
KWiH1jYAPPmZtEa6yYwq3RP5R88BYgvVmV3yOJr7/SSoYUDZM8imrTm2Yh74pTXmBnnqKT00s5/8
aPRqvM5Gs9kpObV7o5DLT8Ygdo9l051TPfxgQSO7yppiz3898o8HIgGdj86YANdFE8ZL9HmVzyNY
9U3ctY9E/t1GS7pzypkfdhnJex01tdei6XGbOjQEwRwzw0VkdkYiA/PUgsvvvgxN4TvH63Q540D1
eWimcRtn+jnZxY9WEqkjKKlct5bpd9x8l0hJbI2V4foQdjahqXTg9RL/0AJI+Xl6JUnLGXcUSiFa
+bat1dYslsWAkd+MkZaW1TZXcA2rg0bZ4m9QXUISqndGYgCMT+f+TgPqfi0CZ/6WK4V+6JIp/B/s
IeRFWNvUBhZX++OeT+oUdBFAXxeaCtjwin0UfPMvgqHx/7Gl9cYoBBhvCrSUgwZ3fBJti4ylRLkG
7dczY7x81vsx/qtXqzgjFSW/T9PGcKVSH25mPQs8uCryDUQg0OdV7Jl1YTlpZfip00RKf6iHYQPN
6ty98MN5tdwYyE2S15eX779JqnWLjTXHgQFfa6rdWYMnJQ+tshmlyDzT54+aUgBjEMgtKeA13CAE
wYTUF9uXEo7qNq1bDbLvqLgp6Z3d6eE9vvX9uT8xX2BWQ8KDVLCawVZamoI+EpwOOeVFFbvMJ0us
u0usJjKkkYz2DI9g2XnXb5Ozhw0Rcx3wRauZE8B2jSOYly6kaQPnJlCrhSyPZw6Aj7YgcEtsAuTu
FoOF43cFQSKTK4lW5llqLqphFq5RNyDuF6He1DDxHauNlEOmKvm1MqCuenpQP9p13za/mrIjCnpG
3S+bvkbePm1CE4qWnm3DAc/ChHgZGKMcb083+uHIopRJnR96uLJOaGt9IBYCy4A3qcZuquYpmKP8
HN7uw6mJzRxhL4E/Gd/jkRWiNCtVg67FqWhiIgWzRww62zB87cwgfri5sqZIEJAtJ+G4aiqpiU8S
7jnwgEBAO0JFHkSP2hHzng4Z7QgaCoCnzayiOteVXyvNmJ8ppouTV5LPPTOjPlwni6YCnabX69Vf
qjUOKKDf3bjnjikitXlQ8VY7NLFSud3Qdvv/wdt8097qxiOGUz5S7KfzoVU6FewGW6a9M2P80Zwh
NYjMFI6uyCos33+zp/lZL8CBYW9tUiG7h0EauMIQiv+DvrxtZbVztvmQSdFcsuZBh28xPzA2TTlH
3ukR+2jNE6hDHCJ7xjV41ZdmJHuZC6x5FBLri8kIIsFOsFH71k+Uz+xCiSqyd9yZbaOuJGmbgjs+
8wgfLI5FXAjNTN4cW/cq9EitGBORLDfdcQi6yw6roY0PqQwSvqR+Pt3bD7YYixiL9Bm1Hqp1q7Ne
F/1aHFEMdIE059/6tB5RJdecpinKp5ojbJMWvrg53eYHs4U2tQVrxjWNO//xbIEvK+ANRptBhGJS
GMfSBZIn54pXH7YiMx2pkKE/sT6R8FGBuF+npts1ee6acvFLqZT0zMT/cPjQS+IfABScscddSRul
Q0CCNxUpmeFzLpiJp7DjfZvh+t+QX07uhlhSzrT6YddIvUE0I73HRe+4VSJxRQ97Wq3ITRzIt6qX
SXi2kivzKasjFm0QAKfkZhbBotXW0cgzavywS9xkGJNt0hn1lxb28cYMs/kK67f2MZ6VeVvlYu0I
4iBvk1Ke9g3kMM0WqupcSurDoYb+BvoMGSCym8ed7pG2LNDN5LqJ89pkD3B7gP/L1TYtp5atOxsO
k6oA8Dk9WT/YDhiFv5pdRunN1hZGoSEQNGEmNg2NJ5e9/zILpYFzs4UPYoCAiG0otYWRojY5LaoT
Z9r/IGeF7y3pIWwRKJCyUo8fIGrGoE2LwHTrfEw+c8ABu5VqrVXs1GyMZ7PXhp9zo8+THbSi9FjI
ufospJRR7Ra2SOHhrAnPooP9fe5q/io69G6GkNkgxSMRIq0Ps1ZvQ2WEVoe0gwJwBGBrAvUiFa65
LZvXGK1KX8dO3cZNmzqx7MNP0brJrjt9epwHVX1pav+bYaQ++rjQNCsriDdiZMY3WPfAP0KJpz+T
Ivpo4VCioy7B1rVAFI7HcoI3aWborLmgXRRHx/1uL/r+OQj6RzMVISOLmi/VTYTjj1upwryi4hnz
xtIexYloEEbbMvxhIynBuLXySQ6coBD+rhcD4TBqVDBegVCRSCQyPm43zzFFNixuEaaExiyWpoFX
G2G6iTEZd0+vivdZGZqCQwwTFY848pfHTQ1xKXQWgDdXHPLsthk6+IDx0I8jcCVTyTx0URCLayG/
PxlJj0DC6eZf5fWOZx5TTlaY7XQUnMmyat+syqHspiwzA99NOr9THTRikpdE6IihQBuq13EqW4Ed
daJ+pcX5OHt6OzwIqAOGNszmMrLVPJzRCRO7zHTVeo6xgRUyY7QbHVCx42ttHGzFqlefI8hUvTPO
vt9uOCHlaxPB4tiWDYyzvMAQ63tCc/luSUw+N5AoZwe9maLYZHlToyaQVeNNjhBIcSZCeD+RF2Fx
hXoXmSn8B1fHNlqdppzHXLcSPPG8pjDi+5os59/OW9LKgstgrXBoreOQstMiLbAScm91R1Unx/tF
m/uXRM7GMxiJj+YTrHn2N6qHTODVfDKBGVpNR0tgVsu9ESvyJ7GblY1S1tpsC2NX/UJVzRsETTlX
E/hwKE1SatANmNGvWeU3UwnzSGh1GlljLnUSEoNj2Xicq9FWESfjq49059bQy9IOTKPZ9BFHYU2t
+pJNTfLiDNCYkPh3KJsOd6fn+Af3luV6yy1hQW7xxSoKbBuNMy7tSUBNsPMoOzXygw4c9JE6kHo9
amWQgY2Q0h9ToODaVLcm4MnZZBE6iE0HlZPp3XTG/eT91sYzIaTFVZiEFbXl43UX+Xpo6RaO78zK
4jqNW9/uun7+KalF4Y7VjOxelQXnEDTv42EmIeBUipoUwAh8jlut5ZBFiL6oG83Z4ASylm+4R/3E
6tY8cz1bYXXIY0B9RByVqUBQDCp01UEELRoLEq7gVqKZXpjgle1SGYN7tpvuKjKjGFGScJCf0rbJ
Nh3sqW2BSxi54Cq+l+es/GFWavgTdqp4qwuoA9opgl1nNt93IcnyjEwM4FCsFWmdn/ODQAhLAHRu
paXjbafVwg+UOPznJtHn1m7yKBS36EWNvzoe7eskz8329NR8t2RWD7AKxeohN0NNzQW361Lg5qH1
ae7Dc1nId1vC0ggXMAJrCc1raZmKb9ZljPJGjE2f4KITd0Up7yJJldwZBeWq1vrLVtXutaY+Ex8s
b/foWFnaBAXLnYu8El8dtzlU6CzpQiS4sFLD3B4CjLbw6ai5zVZbuPnC19MDuQLG/p5uJmYscPIk
bs+rfRxjQlA+WGO7htgtGk2B5saNNab2FKv1r7HPqu95YWmA+5Bvm1AuPOgwuU8/xLvVtXSagGHB
a6Dbvb7DjMyzECqz4EagZO2QDY8KqKgh8NqVD6eb+nDivGlqFX9R4wwAzDBx8nxU0WQP7+dMSnen
G/noJS7W7vz/FeC3amSCvT4GGPq5spyGvpfP5WzaZmWKWz9rxC/IMym/Trf4blfkNssoIXG8wCWh
MxxPG6GZJlBYlUU2yW8uJTOdDkZjpHdYoiJhg0VLuslnLTuzDZxrdbVVJX4b9OlUW25vWcgzATD6
JVcBkoKN1btwXMsrYWr8M8fl+zfI6bJ4QUIQwkZojQ6sknnWxxAvWTWOjEtVzPUrSQrS/ekBfb/2
aQVsymJ2RXBprLo2sL2Ys9z7bmpJk22FPbj7UKViGw0zTqXWlAXbDCr2YBdxGp2ZP+9vXNrSug70
ntw59Ovl6d7sPEji4IBdaFi2W3J83SzXLKfP2+pRV5or1CQk2PhVuZ9QiX8wqsR65oombnRq+WiX
QyFWK7RK/v6AEOpBsoINsIAljx8JXYOozuvKd+PaMkH6FcluNBT9s1/jh+CoKAgeqlzHPzaX57NC
zMr7mQbvyiJjg3WFjpzOakUNUjZB0egDL1Ra8zJYUG1OMBZz56EyLIrc/ol+CqPUbuJAGlFv1NoR
qkiEITgLT9ZjgiehRtJJq3Rti2BCpECUEdMvnPbhFwqwt4WvwOsuKf6oXtiEEN7DRMExx/KLirJy
IUyR50eF+jXsOivcLhKqADOKpr7FbEFR7VyQhjtV68WbTqkxxY7FrIasT/qisK1GwAmhasxetymb
gZfuMgVQUonYtrjYXyo/YVuMv3LQ91fWnDSWlxh1/GVsNVjwOVVe8uzjrD4o5VR8roHA0J9yqj5r
kDEPeG2iqoGuQ27ZlaLx7xwO8OQgy7YIYwN4/zG3IzIbGsairQ0PSI8guhTqeAGVs0c2w68njKuL
oRxJhkftzsrSSnMMVLS4A+tlh8SHJk/A2MW6+o69QBC4ejWLe6AqHTJeeRd7balEiquXZhHeCSho
OJkZJ+ZjomBy0iNyVtW5Qy7JREtGM4WdWAUWGIy8q9HJKOesNuRPErUiLkYG/csq1wQugD8MYuP+
Jzy8KXFEplg8SmFgmtK2M9o0ozCI+YOdI+wewolCKMiTwsRSHBHjbd3V9E6qkQwJqZQIlWg8t2OY
PCFBocaIollV6igpktuQaEyNqLtLUBDBdZJ7/4w0W+NIqMa+9Joi3pUUpF/CITFaW0QaEkVOIQga
14TBMH9uzCwYNjqSM8mu0dUK99JZbEt7HCkMuaUk6KjddCZhWzU1/QP2N6RypJRklls2GrdWOanQ
qEgVpNBw6u2a+YLY2WypRKhpiHzoJCM0GSqBgCSmBBqonUfh11QxB0atl0ivqEF9S6alJmmaGH5j
D4QOwiZO8YLf5kqvX5vaPKtO2om17ISFltp1SQ2nSHWEU8tQmH5SDjBid1KM4L5S2HtsCV3+2x44
I9qbCNJV3AAUcFfo5CZf8bknPOgxObohvDTvWiRoHgAllChnVMhtup2cS7dTWcWAo+WxRmlE0YYe
4SB0xzeDgS6ILQEmwDddLBq8Wn1EWTxLG8VvMovtE5mefvA0mYyOMwd6vY9qdCjsWCvU2iU+Gr9T
cO6fFavhg6gGwjHEt2pWoOL18wNqleIDhU/5SSMvGC4CosVk461QP+Zpo40eSdReBRXs67ord9Gi
dFtOaL2QLoleWsWfLuJ+0U9r0ii89VV5bC8U/PEuFt+RfNtw6uNnq4Vj7YqhMIAbHKqYMnkACLyi
ShhcISI53gu1YDzNfaLdaphQhTs9DiEwpn6iuZlvyomNGUFwUIV4Hm2EU40fQwe5nvk39OJeQM5z
tsEGxplrTpCV0IMO9Zm8eKgWSL0oTedOuaK+VIj1pLe9oASRE4SxMOwQdpQQVuROp9iLN0y0D+sk
/1ah5PpN8gPlcyOEE9KmVQ3P24DR/2TGAQI1k+yXpC5K5Fswsh98cncYCLcOmcaAM67ViMlqTN2H
WBke9TGRdw2qUdA4LWW2y/miQ7vw+4gqYG5LKHl+DTUxmlDYTWo2YE2rvyNWUz4GQOUlpzX19qvU
prq0Q6F+MpaNoUPFsEvCT2Kg65/kuEuajWrGY+OicpiN38iaKagEj2gae1MUyndj5PfjlkXh89SR
InY/kEpMZSebQFTbWRw1xmUU4Mq491VcQTZpTWbKlpqRYjc6Om1hy5NvCE4pAFBCxypNog0EqSJ1
xHYUL1CFQGRSJ30ukHdOxKdSTeZuN6lFJtn9IupGiotbjh3rvTi5RqNOqTt2+LzbeiTDosjxR9Bt
s2yNp35sgs+qhs60ja2Lj45A30Exm0ZRaNwk1hFxKNCpQWkKVQRtl2TGgNKBHpsOdJCk20mprnyW
hb7zESzU62zfGD2KPyJwJ0RpFHGRphmQIN50op8hCaWPwjYMG/GXjNKm6KmjmHRXqZYNNeZSRNRO
16iD/ylphSa/VWTqIFu0D1ucfADQ8l04pqgWI+E7uYjSDl87rBpye9KixHIkpWqkHcLBvCrUabrs
Z5vEw+CW5hjldqY35aXUoQscYObxSays+atKBKp47KAqKlCKH33RlRpGbzxAjbhOWqhLXqLmefwd
/dkUFQIZOjWIBIvCqNil5GoVdKrsZC47yzEMhMp6obEy8jCkJtw0iWssSOUwegLvN17PGQaW90zt
oXDDoJR2sRQJP2pV7bq90vnFs0itJHFgGs+53ep+wN5htdasXETYDhY2yksIinJXGdTNAMBH8wBh
giaAa9AirTXp05coa6XPiAIhyRtECfuEQBzyjHYmAplRUqNiiZgWEmFqqz4GiOp+rdCU5cqujNwH
hKZXeiR9MBpz4joJvyi5gcRYkTT5pwwYkexWRS/9Eqq+fRmUefoGX3pg4VVqfGn4NfZgJSJIvW3N
CMKhTSSWl0i1jfkm94sp2KZGlO41rdEne8xz9ZZESvokG6F8XWuINrvTVBTtJ6WOo0ObI/PuIq9R
XTf8lG9TnC11T5TD5HuoSBgWRHGeac409YRzuhn3L7KECI6LOKN+FZdi+dQVdSfgXCglrddPLQRk
sxi1yxYrknYfRXPVbtUyEUxHwiAXnEkHXtlR+5D905pnrd5AvFHv1DAfH/zcnOotBlkmUmezOpiu
PpAGJYzrMAqCdEQgAgUEb8q6A9ZucwvKQ3eCMuY7utBPz0mLRj2hTSY0Ts+4HASjABJtFHDGoZqn
Re9U8Xjhy/WAt1r2omCnGjllpQqHVEFv3J0p22iDDrs5Ygpx2pBD6rdhWySXmGpX5ka0hvgb1iNd
6/SdkEZuXpfd7KStKnzFiJdFqLVh81xPE2bqPTd4zdMFBEXzYlG+qwURdqUEfO4ZQbgtdgNobvU8
r51lsryNi1psvmcjfklelKVy5Khm5lO3GK2FkcoFQXOyqvFRI52N+UKJh0J0Y/S8LlGECq/BjuEz
IbaGep+izU6aEXUrXVPpdZbEhMdqhYquO8hlCiOwxxfXRkuvaMHACgOqrSPGMZ6CXi+u4abob2MB
4ICHZxAS1Oz8aNQtpiVelRVVi7pvVP1Us7H7ZYoVEVEe6NnBgmqDI/miGWqnU6yL0KJMIXO4NtWK
U8tz7RMQQcBe/MGKwpYqLejQdRaS0iHyZTuzKN7Db9e0vPGmmKFZLlnyuaz1a1ngOL8CEYYCDP9e
kohrdGpWg+bEjlNw4aSEUIS4x+Bzi7HZ5UQWyfZ1pFgVVLWolCjJjWm0w602m5U7ppH/EOmFsBca
Y95ZXWDcZxjQk5hGqTGve83W+l7ZFghvbJGpkZ0hRyYRzQHA6/Ng4lvezMjDVZ9OX8s+yN/AL4XU
DL9GRJxiTZ+v5n4e/Fb03QW3v5X0Tt2r0iw5ZalqB91CkAxtsviaADtUnRHq1nXT6eEZLNT7BA7k
eS703M+WwV0nio3RGup+TC1XlVPMC8W4u2evIRzPp+rvX8yPmlrdQwXE/6oiJtPR5EK4Q0W2eRCC
VCK9kdXbdIIoMZfVI5rS8ZfTI/1B3gGCD1wqJIEsyEXLFfXNnVzP1Hqg7m1xr6hlL02SyhOQ2jhz
zf5wJIEzc8MG/Yj40HErs5gnOFXGlgtDLPuSKYaJVRkMti1Zt7MsnY8b4zoNTBvV0XWZ0OJEV+uI
/I0aj4VbFxRJiTzvrYl70+nBe39/Z4KQzPjvllaDV2Q16usGb42C2LgLDb/YmdM4Az40QO4G5YAC
YhI+nm70fRqOpNiCHoBDymJ/LW+8eWNaN/hhibUcoj61hECokbiReB2WV5Lvn6NgLdNuta9w6FBs
JW2vQyJedbBGu7VtjAx3o0pWXwar0QZX0Vr1oRhb0U37KH8McyX9KneztB0LTf58uq8fzE5Sp3gz
quSrKYiu5s2g+4TdMnljRR6Mz1UKrdFAVPzPctxvyaDbPzu0Uita/fH/e/GiJbf0fxYvsuvnOUrf
ahctP/9bu0g2/wAzpQNBozxFInZBLv7WLjKUPyxWMzbMyEAvFUa+9Vu7SPsDlbgls0VWk4MJa7y/
xIsU5Q9qTq80Fmqg0HOMv6NfdLzecUDgbrvIULMYEGKAE3q8uQBNweQlqCesBtpUcWY0bWuIsLla
XAQztY7Nm5H5PVne6hK9bw5qBtsYhbqF1LbW+S6pKnRJq3LbT5pJ+zmmCZVpklORgMa+atXzj9Pt
Ha+BpXukv1GNoocQJcDkHndPjPKknlIUWipBzO9bspOPcBvPolPFVTsU5yiJIClFgY6i4LtUKH8l
CVIo3V3ubzY3O3ezse3N5WGzcd3NweHPB5d/u65j7/jKPVxu9vaenzkc+OOF6/K9nXvB97wLvuSn
N/v9jbvjuwd+ec+POs6eT9tsbT6Sj19+ZFPw+/vHzc1+z6fZfJztLd/e7DfOEz/CI9jO8jd8zR88
23Z2zo52+Vk+8XZ7w8dfui4f9cTf7D3b8/jEr+7B3u8f7b3n8Due5zme4zjLj3n8Pp+3fJhzxRcH
esIT3S/Nb3fOxWfvYvlR72Jve8614/I1vd5tCzrv8HQbb3flOJv9YbM8KM+25TfvnWc+dcePXlw/
7HYPyzAxUMtvu4dDZi/NPjj89emJIZ95Y9Zqd8wgp6ONId0dNjdP+80jnfKcZ2d34TycaWlVvaV8
dTw31kusbZCOhhp/t3Hvvn6/Cewb2/t27Yj2mXZe9/O/zpv37awS4k3VlKGxtMMr+rq/v+c9O4w3
r2R3eXAvHedM2X1FRHrfoHK8uHwJFsZMgwf36ZHZwns6/Y7+rNyf6tLyEt8c141cGj6q1HeHu8vN
5TKhN4fX//Hfm6cNa+OGuXp4OmyeDjeVzcI5PD3xLu2rLRNrf7/db7dbb7u9sq+ZYRfO5Y7p/O3q
6nU6XtnO9Y73zcpjWbjO3aVjsz69izvn8pLZd7E7V8I5Dj7ej9eyOb7pjUpm3Y8ZL/er+8i6YcTO
zepXxtWpAVse4U0TMzs5lhnsQ5unm8BjWbLcb5YFz7Dd88/e3vLVsqoDmx5e/C/Ozqs3bmzZwr+I
AHN4JdlRyQqWZb8Qjsw589ffjzoHuGp2owmdATz2jCRX71S7dtWqtf7tC6e3/7n7/f5fbz8+r20R
bXaw1z7QwgGnNARH6bwpHw4vD1vn3/4Q2tvddp70uy0+zn2+m90kC8NCbGx8oDP/p/uwfXFfDk93
7luOb9vZbze/tvwFDOVhZ+9evnRMn4sXeTrs2HebI/u8sDf3PyP7+MxSu65su49siB+W/XVzjyfZ
uvbe3Tzih453s4O5vlXf+8qvjXNZnsuFQaFJ6BGHfWe/4XM7m8/9fbe1n/7jmRkeTvTGcW+2fIgN
fvf6J6Bpc2Wq569/XHuD9v5+nuo33Psds3A3+7W7Z/fBdW4OB7z1/genBWeNx+eW2G02Je51u2XO
uXr28y3gvrE42x/u4eEBh82+eXjybfsbu2jLmnBLbI6cwje89tF+92WH3eHh8PT34Nt/n+a/9NfL
w4/QfpnsX759wNnhhx6e+M+/f9mN+Py9c/+Mj+X3x/3z5nn/z8Hl75/tF26RwbZ9e8dR/XZ7f//t
/rjffD0c93+eH7kpnEeuA2ezeXbtn7dcRPvHG/eZI2pvjsdbfPZxz9S7zOr7NDPyf0w3lysWuVv2
d9zLdzfOfnPPUX//xtdn/vfsFJ7dm8e3Nzai82dlRa6fdwDCpwsCEjAXDK4YbskbfrF3d3cuVx5H
33bc438uOWdlH0AucXUfUNc4NRt3BswOmMUm03H3wPnnqM1W59u7tDlF9q/5rsddci4ONt+Id9g+
zbcyC83C86cnfuBg3xMQbPnT/LOHw+6e3/fPTJp7dB7fAxumdTvfmpyoe07u4T1c2B+PHMh5q2/n
Pfiwnd1pYO/ZQkw/3nrr4o9v5mV09293RDru/sHlZ64vwHw7/P+ZhKubeNaEtknXAfCRCJm//uFA
dNMEmfss3GeSKndRWEFcQFGbzXUrp6v8XysA3kFDI2FzRrWZI+TigS6tbS+LrI3XIt0GKDr5gdZR
SWOsJdxft3c+Kg29VRIqtJOT4VnS1iWwjmvWYFIwrix1G5r9sA2S7pPyucwdlD7vzdpAhaH3Wfgz
qQVVVtGHYUdqIH8TwzI9NPBsrmzW87nDCnhkGvJBwIIZPV0hyjOIzhtWZQ+xGhgoTcCmSmZd01rY
x0eqI1LZr6UATp8g83ppMzUIDfn00hCuL8IkK1OgDaLL0c7LTD6KQqm5XR1Hd+JMDXB9qS6Y4uXH
O2fmdSAMXEyijChVnra05qHhUdDIn8EeGlJtqaM0WUm3XZhJesno3zSYRuBii5nUCj0zESar7C6s
o0MbRjqFtKi5VXPFeqAkbqwEMxd24Ud7yxadscmnHA0J8vGZNBX7VPIQ6kCkZA33cmkKIe0D5yEz
PPqeT3eIl5qQieRaaVtJiY5WFE3R6DZhO/1Q/K5cGdSlSQTXA4SRdzmETvPXPzgMq6x0s47G0vZH
OXZb6tn3ga57DipLo6sPprrioC4Ojt55OPNI14NiObXX0axuNqFMiStp0VWzZn4zRLtsP0RY8vNb
UYc6nWZDYFJkvk5NSYKmxcIglvZYiYnbyIl+X0eTbFupX71cN3Ua8r0fMHhg/t/U4oB1k1FUtcSo
KDk8BIHh78wYYApUheptr8bla2W2b9dNXtqNH02eTWQoDH0sMZGBCDNP5WnbsG7W+gsuWnmXSuah
T1fxYi/WVhFUkxBUdE9Y7Zc4LyJHMDNlBd9+0QqbncOsAx9eoi89zVPLwDJKO68pcSlDjhBQl+u7
6zN2aatDtASEGRZOuLEWsUll0SsQlnppI2Gv6PDWJfExgUHiXwpb0ouFv2pWDtelzU4+GXdI1hc4
68JiJARJFepKaUPlp++Srv0OK+EvuZSNzfWhXZpA6IGoR7HX6fqeP8iHU6xrYuD3Gi4j8AQ4VNOa
bopEWiPyXLx+521OUodGSLTsZxD4kqwxEMy5QAwYq1RAE9WZAjJpCqJNgf7RLutzmmzAlXleHO/I
+vZwYqPjZE+iuib8fj5enaNDQxzY9/dw5HS8VpjysOy4ZRDUTfTHrFaD+gDPd1qvrOAZBnEeMixd
3JnKLL+2DD0ALZgwaeWVTQNafEQDqNuWZaG85F1154MsP1Z1kW+qGMiDgn1nGOPAYQ0aqbHQUBPK
lVDo3NNAXINyAXlQOkIgAzwdeT8SHwmIPoKaM3sFZDQaJfR69b7i9qIvF3YItOupbpt0rcvsfM6x
DAAcTDa9f2fh0SgrQ9pK3BSA/kwHZsrYmRS4i67v5Ivj+2BlcamPXWFNfonT5lnXua0PmKUvPWGX
wt86WpSe+zVCiovjYoGZOBR+4F8+nVETIWOFiLK0lRG+OAGmIqdTm2zlMjp3PsweinaiSRcJWfHF
PZvlshdT2kX+2Lf0pxxxzI0S19EOdEf0q0ENdvv5eZz7soiaYcw58whenJPA17iR9KhX4YQvTeFG
RpnQMc20vkPUBl3xwScKXBnnpfX7aHcxTr31ByqTamknaVbdUKHP4Ylpp7sICdKb1kRdCpY6acX9
XZrcOdqkYEgAT5vx6RIOhYmgV4V6RxxK2htUYkO7kWGg2vWZJRZ2AJ7l2/Xpnf/G03cWndOI5Sk8
gWayjYVnbxUfAZEaNBhkRxkw0LJylTTqEModPh92EkoTwcCDRxVP0xYnIlYnCHF1tbDHHiFgEQDW
FkTs54Npix4PAhICQTqZl/02GWo9uSqPAPmMot8p9GLZiJA+iiVNxEn12c5zXMiJtXkXfbivel/W
60HHW4mQ20pIbINUdYClTOPKzpjjk8U60byC7BG7A1zFktiWcxwmQTAVM5NNfYSwCMBnlorHPNXM
DXoD3cvQC0Jsp6SR+s8fBUAAVKuIr3mQL4uhRjygo9Vw+09CYz2DJZYfUNhFhFDWykMOfyz4ssDT
VkZ8YWfSq8JDmQgbCpt3tsgPU8ubRG8UCbgUqCCQ3IoFuFVCeiIUO+HzvhpSpvfoWueZsuTCMot6
rFW/IKAKZrX4tmwPqQJlUggDCHKhAD5t5LzalWm9sKSkOMg7EIggWfNe5fgwwCoo5alpsKq0uuzb
iBObbh/m9VHLlfZ+UPMIQlWrdsqwW+sBP7sq5ksX9rh3IizuwMW21bwezF+JR/Ejs7BlMVO25GLW
mqPPVhArXK/QqIpQXp35lspDGLKf2LNT2ACbr9GsdHniJnulMLKVfs9LI8K7EH6acMRbS3LcGIn0
EOrywo6tbACa2wrTj06QkzUVhYtjgs2DJSMzoC+dWDhFhdmLAJyAeo9uXYzqjZigRlgOCBh+0jUz
fSCM6Y+EC48W84W/bHovy/M0xVTp16hDjgLQ+vF7kIvjSnB4afKIhTgCICyA/Mw79cNOLFMzCAe5
KOxKFcNNJRDrBn1QrhzoC1bma4arkckD2rR4xtY0x9MFG+LCNFDSok7vdJmnaw2XFxaIgHrO52GD
nvmFlVHyCzmqPToAtI7gEke1yQczevRKf/r+6QVSyFIiRsQ1w12zCGENOS0DgOIFkvcw1zVxUzux
0kUoblortZhLU/fR0vz1DwuU5SMKuGMErE7vXk0jUzYZAO+V/XYWfIBTIj05+z/8LiX+UyNSM4AI
lATQfHou3oKvLJ9Tpc8Plq+piFr0w7C7Pn9nDck4BoXXF/gaYC5YXezwqUyipC+xqPoWE1hKgQvQ
NYa3rZMTO9C8YJ8NdAmNoWbtMrGU/wmjcKy1rNgGCsjg6x/n0iSzkHOnLvlZIBWn4/czUDamx84x
rG5yhUKIUJvI/n7eiIHUFc1uvD7JRZwa0aH8CmuY+u0hrMCFjj16vuhZWMUaZ8Sl1TRgGcPJQyoF
IuXUkKfGmYj+emGjVzQ4EQzOwMphWNe6fdYI48oNemnuaOVi8xiqbnDMT621Q60PaZcXttFo3k3c
gRMs8KLu5ycPKgqIQXQIHOnqP7UCf2+ljD4eMaoRjUC8K90MGvLLn7bCtPGIwiOyUMuZizNgrFZI
f8fYG8F90luqI4Va8NlU0SzfMCMCubV4TC0b382pExph3vsxTD936TjIbgFuesXnnmc6ZjPgg1AT
IbEMmOx0ylJ9yjUxNXI7ar2Q/k10kaUyOSL6Dl242N2bvfZU0G63KUHx3ZDvPuogx1ful3n1T4LX
udOQ5n7KBGRbzjihUBJurcZPCAT0DiQyjVu0KqiDJna3oPp6xRl6KwkPVUez4srGvHAMeA28k6iD
9DwL7YSczpU2teiISSMldgJRH92+CG8V1VfpnPD49+d3z4yQYklpNT2jSGyhbkXfCy+iBkFo97VS
bY10WjsJ57fcO80dArs0tZ6LkpJz9uFGZFmBb/tOYhr5Ycwm46B61lrb/PkMYgpOFIW3NxDr5YNq
pvUWK40ZzKEGEVxwwKVpi2BHvlq1ov0JetqLVs757PdP9wupKrSD58Z5qPhn+b+P110QlxoUc8g1
F1kquKoF9VPZ9tOvsjUSV5Iy+RdpkOGmCJR8n1Zy/eP6Ep5vV2nu04UmY25Sxaudmk+zUvSRd8vp
yanQiNeNP0ll/NAyElSllaV2q65Flefuc7bIo5VqGlnWJdFO3YdRKEuQO6B1wKO1bNs9R2UNjDy7
x8W0oluEGKfG/uTuWbhPOWpAweX0SlWRUE2OmYXhWzmNqepWhad+KeNuCu3YDMgZ0Wpar90RF/as
JuqEs8SAZI+W+MEKoj1YShEbFRKvBCUcj0jieVLwQtctEgbX1/CC46NUwlPZgKt09n6LwSqyEKt9
I3Lw9foLfjF+oakjdju1SiSXzm/tOVaQV7AHr69h4vE8z7CFui6/BhViXp996lEDI+CdQf1wTwAa
Pd1RiAI21VTSlxeXAce1a5tfPWTE9ETR1YIQe3xXm69S6a8B+S/sK6oQFI2oFHB8l/QTYmolWlmw
k7VRTXI6lTz41axOCteIrS+tLQ8vMKiwqUB5M3/9Q4Ca0vHlgTzNbb9uva/dGCnGZpQs76YJ1dbY
XV/bS8bg2uLBTpKHX4vZbFRZDoQmpj+VzPqxkPL2HnJhwe30vH+5buqC85uVw2H4IqdKsU85HZfk
qdpoZIzLiAzvT9RI41ezMbpdnCXJnoJm8O26vQtDI0cP6hjkOfRFS9hJogph2tLWhciQYbpCQAGz
qqAxzfmZlRNywRSkZdQu56GRLZ73zoclC/W08Osmop19VCvfVoe29Sj7ZcpBkjNygdcHdsGnwlDM
wPBy0BS/lyc+WIuGDHnwlg5Tem8jx8sDxEGFksKf45m1/KcZq07cQamhr7ycLtmduwaw+A4mWeyV
tumlBC5C7PYZGZyhDdV7BDRTp4LV5mufq/mtSYfZSnB3aW5n5UlcHQ9dOglO57YzOjVtBB9X15Al
8DJOeRGXuWMYtb7iWi7s0Fm9Y2bXJmsMKP3U1KT0rdH1aW579UT/WjvJu1HvzH1beRGMu76wkmi5
NDSe1XP5hHwxj8VTe2VvoBxmWhklTlU/yMIkQ1qo5U+TGa4JwlzwXjPrHLWGmU6GC/LUlKqXcuOP
qGyJfpjcqxXpowi11+31nXnRCveuJiMIQyi1sCKmRZzqGt6kjJJyU3qieRPAyLRCBHRx2tCHIgRF
LkRe9nXVAaU3faSnvky0wXBAoifjXo2oq7mjZorliou8tCvIUM3vGIIKpEhPp04UJ71qQ/wWrJrP
XTM90uvX2zrxlG2UUbniSi5ZI8c3Q6hIE/OuO7VWZHWkKwWHuxpL/5iFlbKtY984iMNAR2s/tSuj
u7BkeORZBE+EBo8c46m92JCLfqApwO67oqAuG4hy5/o5jXErA7uwarO4KIkxcrTwRs0f5IPXGgpV
CpqQczx0nZG6KdgB14hzM7TD0Kuer2/EC7PIJFKapNKO6tTSmDfQT9r49GbrVqBlLh+n/J1VqubZ
nkAil8y/GnzeO3Jjky0lJiHkXl7bU26mQzDIGbQKoefEgk/HH12pdasJG9WDuhfWizWxtEtzSlCt
zSnoOc80T8OHOQ2aSChSQSXGRDBUppq4SVLFt2NVXkuwr1ma74YPlvQCWBiooMwu2ibsDrjqJtlk
Y9yhrRwXLOX19btw1dCZxlt+jk24UxYDSxsUF4JaohN9mJrdNGrCF1i/LUjV6rm30BqPRhl63/4H
ozNp5XwceC0tjFap1UPzr2R23TOJIVCQr+mof4Uuv9qKeqls+zpQV2xeeJ7NpJd4TJFXPTn303mt
zSmHXRxqCF5KKHAH2dEqhuTb6AXR7zxV0h9aKlauBv3hQe6HdOVMnr9i5qoQLpSImr6r5eEX1dwY
lAR6gtYYpEfISUYbThj/J9QR7d1kCt6m9sr6DnqPlZvv3OvM25WTQhxNQmF5HWWNakHyniH6KAMc
oqThbyIlkh+vL+i5F+DVCU0dqFfuPsKz08ntjAwlQzkgYeO1wQ8f2t3AbXLkO7eqN+Q/mlbzf163
eD6h8zuXlBodvzJl2YWTC5pUCMSKCCJtwhR2F9TGvliIV/t2RVllqymZZhuZD2eLh8r5GmrhkvX3
KH4mAJvj7MV4hVwMJZUwVCyKIHENgYNJ7j4PesfqE6Q7QuiPYKQYxCLekyyW/l4f/bmTmKlU6dOj
LKHIZEpP7etUJAiTcRLyECsHfv2MC7XfyfAabD9tiRTpTPoxGyTBfmqJt4NsTQm3ZOZZRuZmk0mz
vhVT09/qnTYGK+7o/JRChM4zgriQNSWtcGquhkY0GhDUg/YkKf9wgUC7DTOCFHtk4Jos3/npWH4v
eqPYRaOivl4f7PlhwTqpdKDIsF6REDu13rS6Hrc11kGORTcopIg2xLnyp4/kbMWk0E+1B4jpIhDg
hJigtHsixF6wjtGo3nfmIBz+h6GY8BID2KYXeImrqcH6CaDSmMh+Kr4ASkfYO4TCaA0LduHkk9yG
ewr2YaCDy3IS9VNIXbI2s30oel2rpNXRklL/AN5vOJpmI3w6JAUHh9IWdTI6Sc8QYajvjHk5L5Eg
RMomQRz1XiPvtUn9Qf1yfQov7UU67VGznBOWxjIchb9H5L01cucbPeqdUak6JBNSVx775FDUlXgs
qbc/alVUfKcPrlg5Chd8DGEcU0rWCUD8EhuMPjg6BCLBtwePo2yXZBS/qCbKdbYIicmLLAtaZ2tq
CNEAJEPVyuDP4wIiLFpYKfaQAdeXiCl4uQukmhLqaiiofWcxQt3OZA4jTfJ+UgN1jOMnXxi0/8Hh
YHgWiqa1FQqCpcMJw7r0Ox4Bo1RCqsUnPHTmFLxJRhuvxK6L487Js0D0zNQVs84Lkd3pcfe6IEst
dQyh7641F8LKeiflXbTiQZdJvf+aMfFncEjhtBfPmowLSgwVJXQjahSNlbRu50/CJkeZzyn1WoSn
u8+OsSJ88QZv2JZUOx+9tvnkdj77GAvnphZi3xDchm5YVSm0bQZkN4rY73IjVRCFmTa5rsBqk5Lw
0wAzbq4fpsWN9W4dgN8sI0YmlQzO6VxXCIyHkdFCWeX77REGxHGD0k23zcNurcxwaVk/mprP9ccI
elKMUUu70G0tC61dBfELeajzlWVdOL73ASHwy5ISzfHwmb/+wYrQBbEWhFHgemFl9EcRFKzn1CNk
YwdljCzx2Sga75PR3GwUJD2nkR5z2MiXmiHKqJaVllu+C6uEf4f6QenOmauVYPXC0GC35PIAPsM/
y1C5pVnEE0gwuRZClelNKyVKvG+Q9pD3tOvX9AAZBR7/+gZZOJz3oVG6nJFa2OYxcjqfuWd4QTjC
Ep0OYuRRAC7acIL/se4hAokH6F3gbAs6aL3akmr7deNnW+ad5pqiDa6OcS8h8FUHbZHgZaqjoQ20
FytvdHSArytWFh4dSTBAw+hMUkHl2QOh5+kQ2ySkgSWXYQ0NR79zRiXJH6JysDawDwmbeuS2TrMi
2yry5K+487Pjh2mT4jN4ONg5QPqfmraiXPTiKFUcScwD6YusFV35GjaNDLM3GJe6WalGXbLHuZhp
+XlswTVxai+Y1ET2BGSAx1jt7KSfTBfah8TR4EB0r6/dBVPk7mdCdABOnMPF0Ao6uqoYSI3j8erY
eGWGrCj3Mi6trFYWcBERzAsICmJWQdERFedyOh1VFOulNLQ9o4I18ibwsmIneFPqyAKklU1Hjd/r
ITuK0kG57RWtX1nEs3M5m6c0QlAHcoedempeFuBkb7JAngWszJ0wNbKt6hWJaVFQiA9y8fH6zJ6f
CpRaKcNzEVPTBCdxaq+AdMuLPNwaYjbqHq1aSFTDoFmZ1PNRnViRF6cCrlRLKKHChAZRNBzf1HMn
GUDeSYH1CJvVmhDaJXNkZ2dwNo0UjO90UFpG7jQ0dd/FiYlZtEWLDDJHJ9ASJWltM1NHOduMTRKq
28/PJsAh0gCE/iS+F7MZkGoEwy8LjmLm+vcgpowJ8+jTZ43AdgIomowOFSBO/OnoknxMAijBVWdk
ON8tMc9cqhjFSgbufGPQAIH4wdyWYRCLL+YwglbA7yMrcmWZqo9mhvlGCEPp8NmxYGXOEVESJTG1
TE3VudIH6ClGbqHKRGa0vG5DsV7bD+fuAz0hAFRA4WgL5W49nTFS9dDKlmbkCt0I73sgcr31UrQf
PIr11wd0dsXNiCZiKhSyDJqFlldclc9dtmE4szA3/u8pbtMXDU7TbRlpg1ubuXD0SaKu3KuXxgcS
AkkH0rPYX4yvmphgv2QWozAoKRkDZa/lzLAHuKJXTvIlU5wo7hfeK+RFFttCS2aGcoNt0U9K81AE
eerknSl9VwEYfvowzd17YJDIqM9pvcU+F6cyHIvWjN2in/KdVSf/KkVfgx6crxf7gXIEuP/52lz6
21qBVVKls5UNaIxf23yCK0xQg1v6Xus7EVqvu2wSqrXa2PnhOrW68BOePua0bHmhq0jdtO+KsNnl
dbemVHoei1DUJIPGtUkLOvXN022vDWMYlwKPEsFswy9p3E72CIU3JL+FfCMFkZfaYe8pezVovJ/X
j8GlAXKJ8bKViYEAWp+aHqa6EIRh4D2k64Ort3J8GzfiWibpohWS2lT3yfbSRnZqRYta4LaeFroG
VLhbpchjMGTSWl73fMvzpsERKjNzFrW4xaMqN8Q0k5ogcsV28lBB6Yta3k7Qqqb7MpWbZsUlztv6
AxiGYWCOhhQItHhF8Zo8HVTnZ2pZTgiSelOp7uC7nh4zLUzgw59zVVbbWfvra3XhCJD1s2Y0ChHH
2VoFjaoKndFHrmkQbTSNRM3KQChxz0Ol2Xbgym87o67TzXWzF6YVfwzoBqtIgoiLxWsQOBKlsotc
n8tnq2XRdPDClpRuzmN+rWn+wqTSx6BTkuPg8apaTKqFbLhhIWHn1k3j57SfEfo5oA9M3Ql1qw72
sZqH6afdMolGeLvmCw6asKWolGqgk1u3LVIFFEMdckvei943yn5S8u739cm8cBIoXHHMSRTTULlE
UDWtQRUg6FIIVAmwOqnTnGSy/vwvRshEk+egFWz5HBbRWgPP16QuAOh+E2Si6Ga9Na3coGf7gvQJ
1xh1P3I2M9D1dP8PPN4oLka5S295+ZiQdnfFuup3wSjp364P6MxBst9nwUfqtdwBvNdOTWUITczg
6tKNck158UBmeYdwGmlydXPUQqHg9EsUOhy1L8r4RwR1+pq+JSXUs6Xj/QRUkgB5RoLQ4X76IXjO
xTR9wvI5amJMH7gwKYkM2Xoy1X7sQAdapxNk3+k0c+qaVR0ltmimoh5D82uNXrmxQlFKpecpVcbg
Z4genaUeesiEhdcA2eGi+eaNcZRFe0PoauFPlkaCZzpCKHpCZIdxl8XRBl5vxCUcJHS7UnQbJED8
aNdYUaW8dOiVCbD8BkE/f38wlcr30gjS5p/UiEX/bZInXbmvUqNK/5Sx2rSO3I4hgmFCHpaRHUlN
lB7bIgqPogHZOMWxqBvfhiBrKJBnrV9FxlZWw6x1RinuesumwmZWd2IysyVESpCYr6R3ZPVGp5dS
/GPV9D59jXkQwtyb0xYlZQ4zkyIonwhRm/Hh88E7FlWUNqiFtFn/LI2CTrtk3kSe56YUyWMnGhur
+jqoUFQ/VLkmKPvEsjwShIwl176XCaLbk6uU/WBo+6qc/EnZNF00CI2TiAmsrfsqqIV+16RArRDa
G6hWb6QxNGdmeKu0UnscC09088BTxqccLs7sT1JkuhzuGpgCv5U1z9nOTeADFu7By+befRNaE2Dn
VqpDHipdzUfVQZa8Sa0v0tSqTFk2PRd6AabV8qGO2Ay1CEtya2hJ9FjPPDSpKyhoFX7TvNGofxRt
lQStQ5Ipa5/rPGrQ5+myKKkCnrKeJe0DRW6GJz0cmphXhD+1JfXKSBQgZU/kqp2+6YOR+F9DzexK
YQuDQN8lh6Tt2uDRCNqig8c9IGp77HsjT3q7Sfx+jJy5KkuMHY76kH+rDDr2eXdlhdW8TqPSe4Md
dtokPCIe4ye/VW5sFCJTQTCRuZj6KpJNKv6i1j7neiBqf2X0JPyYpHRdBiI6j50RQRhudpUEr31b
5lXj+lbeoxzQcJCtl8hDvewubQvdnHajr2XZd1OLRcQswEsEI3cLehj9D3xlJ4t200K2/6VsTWCQ
O9jex1qx5SirNN+J/UZpKztEm8dDvDOTNbayp9e0LQjjKIlvpjpONT3rCHtUneNHQjl+LwJrko6w
X6vTVzWrWv9Zsbwme6G7dUhczfKE3qEtYjLgGG+8zO3ycBTvZnFHGv5Jxk+viQB6pHHzVsd41ZfG
7QjJtfraRCbKyKaX44EcYHd1ILq0Ekm+sC/HhMqrnZXqOH7PVCQugm0K/byJLkMsTkBEskjIKvFG
qeS0sBA6EStLdINGCOpuIyI9Kpj2JEN8L9+0Ap2ckO93aTv9QXaBKpbrBTUoIFvKRzFXt0CEMpOO
OUmYRgntmSnrv4OwFCIfrnXGcSvLvgBKFZ4fYMk20sd+/FMrq6EIHUjHJ/FJDwrIE+jaGT0rsqcG
iExr42C19ncajVEQ2ILsW0jazHiIuj4aUlKqzX2ci1pSHaomCYp2Vw20BsPAzqPA0N1C0T3tNlMi
PW3hLgqDLDg0eGu0uRPJauBrh8NGc2RVEIrYCdveLOTDpKS4r69eoo1t+5TFCvJGmzqzjF76Wnk5
bx+iO1h4kZxpMsG4G5BDgbcc0FAtbwof8ni7t8ZW2tTQ6Zuiawl9VH1Jo3Is9yV8HmEEohBa98hG
nLW3/pgpklXdtolG/V+DUqpxI4lxLf4wQrnOX1KDjnxQf4CVAB7SSJr/kRV8si13RAtOP4RddyPq
MBe+jDyQ21exyatklyS+Lt/UJnxUDu5L/GU0KQRHYTsWh8qbkl2veRIkEX3pIxjh9/6d7snBw6wG
upUTK36grlZQ70kNiIRfzBDZlQ3ppmqQbYreefCgF11P826hwGD/Jivkvn8zplB5a3SkPm2tFQRr
x8ei5IAkTjvrAmeJsgNuLSY39Zh5Ggz7hOlOHFly+aa0simItpCmJZpdGjL1T3KM+vitxA3sfSnV
cBhv8XfF26RKY/DqZ1bp/Tam0EwfIyj+jcemFCfrDSxQmW/rXAhR7JSKbtwRq8LX3w0IJqubUki9
vzm6LdUXYKthukUbYrB+sWVz9pwnAXd5rHQ5y/5YnhrpNBZWzMMmn7pK+RuqHdlpW8grmV3NHhGH
R01JKU8J2djoz9k4ldMxECJ11pQZvCR+9ZDREbO92td6bWxFrfIHaT/wUPAGB072qPrXmWMv/u1i
tcx6O2gktRWcuhFU+ZdcDUOr0EGfQZru0qHR1YkDE5LvIzpjBchh2X2OzEZkV4FSDrWjj1mZ/UUb
WUQ5JDfLmm7ZwJcb6yfqDWLxaoRqGhIx5Gz0wAYZNumygzYNik12K7Vpk+FIzaHaIZKU0INO3aO8
Q0YArguAMlAGoa6APwd6ULffU3ChqOvoQ9jiGqVYcmJwIGAspRyJJw3dF2BFYhyq5uvgUzh99Xoh
/eNnRWSSrUy6mGxwIb1KAhkzR2EvKo5R+lX6u24n8wmAFze2lYrB8Khn/bD3OV/ebRwoQebgfco3
U6LwywXbxd9rQD1PiIhEf/RQa9J9kQ/KY9H3+iONp37zfi18902pGuhzrPVj1pdB+0ykYJKSDjQr
3ZUT5BY7CE28ZiManjo4Sm5V2n6qRWAtwH3T11wyWKxxEg5VNYooUUVeICIvA+OBAxAPOgKtTJJo
G+mad8vrZkQpI02mnyFKLdahaORS3RRB3QPBbpp0U5VSvNXNUVK3CMj5Ox4fsIYUY1yIgNpQuneL
NMtFpwM07lZU7tpdz/X2XQGLmTilxx3jaHHHooRjAjNQB6q1ccYKEalDHXZoc6idCXYMtjjLh0Fo
6Ds3HIV6OPrvoiZRlBkIvVTNAGVNb0quKHAN2dJsymlzOQbzIbWe6qAHq8PpPciDBMjOD55wd/K3
WsmzDgEbq/6qRob/FYkG719AZedRqqA/YUYEQdwGYU4dSTQqNLHpDbd62zJrglWIYwr9tvDSIX7M
8ymrd7JaR8UBObVA2rZKIw9fYzrNS1ctDQElM61GOibO2Zo60ivqxhtR4nIifuZhXgcy4WOM1ETj
ebLsEKPkiLNOxCLgEseUSyQykI7Us1b+afVaeuMr+TS4IJtDxiAOjbILhamkq3wKox85SxM66LYJ
W4XOb41PmwEp0rQiA/aXxrLDYyfdRmrCH0nDEoP7sZkFaH9I/msVR5G3V32vl22DSAUIRmRauWNJ
SfEQJ7oZbA0ZsQ0U2Vq92Sp5LVLSR3HNsvOpzkcn6ED2InMlBSpHPxXRvWzT4qk36lR7TmM/kpxe
FyIUhgajqO04KIfhTjN8REILX7F8J/N7Q3Jz1rO4RyJN3ud+lGqHXEkGjx8SVKJLo5UmW6EzCJEl
A51nu55CFYHGtBMeZKBV+S8pj0dbMPGZdok6ho+YTclfq8SGFW86qyPi0w2UkUGKZ8aNlUSGuiPG
NYXWRgYOIepJGfq/OsQrb2lScJ9EQYg8W4aybLVtJhSyUoQTModoSYWRuwfucfSGSnuVtbFGswTZ
Kwj6lM5/mgw/E+0C5P3N0HkEl13fE+R1U2HJrp6r/uBAPGVBu4igypexlOUftWohk5jkqWo3ouI3
OEMrCp3M63CM/SSpXytZHH8IeYxoitCpofQktw2UBRoQh/QtrsqO3FhcN212z7EcJ8gWB24+3QtF
4UtAXPsytQLULmIuhze5hEYMCjoV31fHeey7vh+Yyp6l0rrt1AZ9zVbNrKeOdpNo4w0hisE+Nepg
jyx6qW//j6PzWG5cx8LwE6GKAUxbUpJzdjv0hmX7upnADJIAn34+zXqmb7ckEjjnjw1SnSZdsTFF
p1znwMG7yNsyLXvjfsiNkiS2vKCsT4CQM+1hK2rQ3JT5BfWQDjlEQVG0F4J5engvKcdKhzhqqmwu
Fs4umI2oaSlkS4b2csLv+gj25qkD/NHqXtGe4uIQE+wsvF9hJdYLAs5NfdnJeBpumFXY2hp+lpp4
v4T/Dr0awXyYjcQOj4GlfIfWb389dy/+K4d++4/4l/JrKxp12wVo804+W/rjTpnWa5cLZQ4OD9TH
4nfOfOFQbvg6NcLhzGxdeq4jEyqGAtqkxCFgoPAvQte4zZWv2vkVnj0o9ox9n+1t153/POGxs0cc
SMOhzOuQu0Bwa2XIeMnHypWMK4bBjgV1VX74CCtPOMWOmSk5odF3ppOIpsj8qbskbq60bBiH9epE
x5226ZEXoup8fRzIq6vSUIjysy5wzqeI1pz2tV7sNh8ops39C47i/g4RRY7F199DbDdLEqZyr8kK
QEiR/KPyzvxztEj+zTJgs13rnI7qxVkCSMt45j5DYKeoY3db75gHrOfoXs6BkcZtx69t23C6FKXf
0gdHTdQPZAk7kE6o7du1mP7EedR/t50VtMbgTr+gzDOmvCeMp5EsDlDgE84VOm7qIEd7Upaj+7b2
+crr0u/F37Abtvtwl/lXoq14WnxveUpEsjUXAxMP8kkd4CqOWkinY1XX42mT7VwdE9fEFDYtlb3b
RmWck5Kb+Y6IJG3SQFj9U/vkJJD00vnhITdedKGcaXUAbor9a3bkilV+iDtzuTaz/71tconw9Nj+
i3qgjg5CygrvvNqjQGxpt/tVgIOf/HEOv9ZC1a9lQEoGlkY1Xy9hwYgUQKZQDYzGZ71UiHDtYaSz
7Z8ZHfHdzab2ON+sfal6TSzL3O+qfKirUUKbtmv366p5stlmk4ZmNyGVQrmplhvRmmFiQbDjvyKU
+V/rD8XTwhX+GKpSf9I2FLfpyrf2E416ujHt6DLrd/zmKRkslMypRjAHKlWebbtyRrbg0NF2bjYs
l/tkYg1Pa6o42apseV4T4qB6dL2WLq3BqWh8ty6JRqd1tuuS1mMVRBcwl+5nqJsgJJ9kFg9yCnjd
PWyXEUAVOzwFcIY3WUYmYitFSRDDNgmbHDffYOFojOmvdzhfusU8FvujN2poTy21vohqvus00a0O
s37xFkoJ54iHLF+lfMjHuHxDeaFeN28BB2LxW+bUH5KROiUSGEKK12Lz3Kgi+F37RN1tczUX16YU
vjwmMUPMaTJtrGnYOzMqTu4WV+4YKX0yJkleudP76rAGVXdDcdOqryaaIf/2qy/u6Czbg5Mbl+V7
wcC6XEfFlDyXSW7pgpwbPAZgLEGe2XIcj7FrouZydGVXZ4Uc5H/x6BtEQF2ubuQ+7W9yWwadTfST
dUQeWbGlll/mooWK3E7rWu4feWGsueW0CNpT4jXesZWx3rIRyQTj7FCw3OV8eL4dm9gPlm7/NWj8
4qWZMPqmlR4DL6V4uc4PXmOdf6qq2xvsfucjHPQqPE1rNUQZLhr9GGlLZxM/ocsXsG9htmPLeiDX
zTdZOexhl66xCMdjwdgeZEJJ5ypYNz5mggmCLMh2iyJKHF35A8OX/3EGOb9L5PR/oQnsTaGW2mS6
VMl7vK39fyCB6nFahva7Dnb/qudjThksOeuvgSUiLQPNPzq4Lcmv/I7CX/7exfJEiVxvx9zxVy91
ZT7yzXJmgIN4wfysCPdg2fdQRXB6RuMjjezNlhLkW7s3gxXB39XOwV0U1tMXvWDy3Y+g0NJZKv3d
zCRPpYZqQT+b2z5sOfZq5aXTMsdfMMwMyUtJp90ejGZKLV/iHWUeNFo5hVluqYRlSHHchVqdPFI9
tq5RhKll7/gUSLM+4yqU/Lu9AUsIwo2eJrg6b+gemyhcDbGVsvzvVT9SiC22uzw+F4OEULE6HUsv
KrK57OPlyNRku0zOe/2BTD9/9JZwW9OW/WjP2uI8tY1y7S+7kEzCdKUmrc8KH8P+dTzZ6ctbrXwN
90Rydou9e+o7Hb8Hhe/aq6QpmtdB1/2PRmJ9R3xEb09VWCWGCkDH/3AMQGrqcQNj/q9G91mtHVdA
XhKdyREbRk+mc6L3xR9Y5VARy7dyXbk6tt7i+gmnxqhr7dT+jaIsjCus8/vl4Heu+Kjinmg6doac
hTSWhDnNTC237d7pOR2koj6WVzz8FmJTtB2PG+FHNRtxpujOfOh89glwIDjlCzXm9e20E5RwkYvE
vYopf/0tWtldo19nilErI4arY/MKshyNB2TI+ZaZWMTlIQ4GBPQKQIy4THzzdxVk08+mdBKetO69
UxCuTPSdrvcq86Zp/nTGLXkMEfehte+IJKFJuVVTlpD/eAOV2QcpxFv1UrSNHrJBd54ilHVl9ooJ
jvJT7Rfty5KIaMvabfD3TEvX3Mq4sAlXoa6eY5J4o7QddBWd/HhxT/zGw87khtW59WbxibgIuzum
d28+BCqYbxXuuO2ygSV6jcQ2ldckR3I5lozVZcpZJC6T0jHrhVMMUXSYghiXelBwyEjAsuvcVfvD
rNWYHHdqgW9sZ6l8dqfA+mlCa/lDRYvumnZRAY2plqm7rCKIouOO8vAjyIf9a0yMMx74DZvbxWjP
PSTbzMOtmrx91/TafdOiLIssZEL5gWSwd3W06fLAztzda2OFenSIYtDFczIAAh9M72uaefKlmj5d
n3pxgoEXudzLnFbOQ9zFo/1uduHMFExq3gIRa34Fh1GdzXD2G//iLADA4kyf1094Lus+jtO8b59b
vrgvMcThpaXTkxdnX5ePvt2Sn5a60/IUu133Rni6fF96UU/Z5ov206m4dVOHjfvPLuqE4KWQhnd3
CnlKk3ChaVnMCz3gZsmH6nIC655Tr6N47rZQCTPLzlr8EsoZeNE1HskAPgC2OlRDE5uUuNLeHOO4
7htgDr99aQzBCcSn7x19klNpPrWsGUO9yO2iY6v4xxz6deSvNvEYzQdnt+aO4Xlkl7XKjlkLolcd
cee3LZjaMH4Ju9JS/UOrKZCCdcbxKa5FHB894noYNrbRbtleBR3IVLRo6sPpIqNY1w7TkPVw2v88
GzlE//I7VN5lkGzD3zFfSDrNo2X0MzBm1hob+QtIjwj74XqWnlDEdPr+uZI45DiapqFss46iy8eF
Rsnb1RFbdzB6YxUqdmR7GRXCBMmXkx62k+cxY6CAKZABt0M7UZCKue+5nhbP4f++9veuXzO3WQpB
29MO6iuzsKvCp1ahGkiNXQYQN6pj74ml86NUD+HyH4Z4s6SAIc5wCPmZh0M7iRLAakiKx9USjJMC
lDTOxYpqdzsEhoROcOgknnh0PHmn8nx+hlRp2e1t37nn41t9VUYuHNNENfHHK6bpVOTu+urtMnkY
WqPNBXL9+nHuCtc7BGREPFHkuC1kemtS36mI96Cr3HJhEnBmzxWnJQEyemvLukDjURerm/V9V+13
jWxY1QKuwTaN9UJ187ALwjuF2jd1U02xezkNA7219HDmryVPlUZZo+ISrEL2BYdxxQtVoZUpUoPc
i0U0DIqLpfDj/UA48QCVmde6SGOCx+kRXXLzJTulnYuSLfUKTNV/6KMt/FfSB7hwbhXaZjMPUJQG
Su3OqdmLZj9Mube+boFoReq6lZ3JxpAqgoSpojYb2gHBtyUby8SILvx9A+alV6C538hQCzJ42m1k
2t/iO0ii6U+ORM6B8AcKIc9220H9XA0RUG3jLjKbz+hHXSpoU+VK9S3KageUlEnzmsPQD8c2EhS/
U7AdPyamZnLCXTSVqePMOzizVc1V7nv4erWBlkkDkhm6Q8TkOmULHF/LL7n3LABGBlMW1IN8SSaX
vdrFdPkM5eMCYYzuwiC0LPSQNzGclI308LhUjLwHMrmbq7YpmTHWQqzjYd3K9dvLLY3pubcNt3XT
KvfK07l4nXbpP6H93Vt6U/MEhNXppunYwvbd7X0AAFYWgf7zf5IhTdZk+PWWyTyILtdvgpZwdUym
sf4N/IbrdFjN/r1ZMT34tit/x54ID5YDP38YbEf9upv33tuqJJm9K+jTZeT13k++cOTxUXnG4EX3
5bCYbvobdQJgft9XEreWuFRYkolyIa+tDo7cc/IBBm1+ZlXdh8wvAvuBSFr87WAmuMiS0sypWlxR
35FYCp9U6HF9GWxcWvT+O9UHgxdNv5NDZgvTevgrCHJ0MpbR+N7zqNYmsN3Mf4RpmaxLvTh3qj6f
NKYs86eO65NuTe2uN5AjuG8RMkcizavZDe9MsMsQaqZVT8a1zLv8ld2DZ0RItOHKfRfTGU3vexQ6
z2Pc1ePNnFMPDsHUrsGhiBQwJTHasXe5jJKorICEleCg6e/8xzd0PqwYNZtsAE59c7cSsLRZ2LbS
QAJ7FESTBJdcgi64dptDhHt72z8156SBU9J59pZjz+9YPxjv0zAW/T/KnqXMOlOOrMKr3z/XJpm3
DL68mk+J7Ah98UzlPk2MIE4WovJ5nBn/J46DuIR8wj6y4Iw3zsSQXRgS4PN2WNOGsw570lpF9kri
CPyNA7pY09ZdJF20Zrcf61KL18KtpwoqeJq+uiYHrV0pk2vSxazDY0g86c/EzfMA0uw+ktnbe48j
WvgcyK5tqN84M8Sm7tzpPQf5cy5q3y6PrePO7U0e6n1PR16v8IQZEf6vFufQ43Pe8LGdZ2Z5n6po
anz1LKoMiW353TVgs5goJxZaMTUNNNHQlI8ebtjlOOl1Ohb5DMVvkPLx/VqPoWJSTvjUuHSQ8lUX
zAo9atBvp4GYPnYzR3Fma8MTG/dO9E/7jn2WdlnnmyEOuXIsnhs3i9bAfIGDRzKbESFfhETflleV
RB5/vubIxByG3mf86wtwO2JovDwD1t0/arO6n7ZRMU3oXiNuML33v2G0ATwT9Ezgag0F/L6oaI0o
om/h8IMiGq/aWfBfbqd1ZKSVkQqysYmDf/AeAWwHKoIzWdziuerkzJpFcLzzA3YCLN5xqK1ZA33o
3dqpdf4oIUfvKOgsrLKtUvEZR84h46MS/PdAllz/3Gy+/TYouT75QLS0sGyo7hjhDglpQ15nfbGR
n34N4ONQb88j9MK01KlD4efCyfp4F/6FdbX/SdN09YZKtfy7gM1+Eufplhfw1O3bWFfB77T3pUkZ
ehwwf7i576Ef5Z1J4nGbjsGauD8Ix4c99fKaEADaKGRz5TRqe++o7wquvbLLp4NGDcKDjLHzH++j
GUEPR3jialWWEQ/lzXgMG1EOx3mq5M1M2gR0k+nkb+63IAFuH+f0EG/hdoqqHTVhtQSOYGPoxVzc
FUHd8plhBkR2Lpi2p35ZfJW1/HbXnds7cMkYMn+bYdNPQ7cz1Ip8zqn+Bq72j0EXmDobHOU7N3uu
6HEmmCj4FJ6BEeqK2NOnmgX2OWqEO2RJIIS9qqbSe0UOSzKA45bMBlFPhkuvXdCZ4jwHpAX96Q+q
8wfF4b51L2KCHuOWpvEj3d0henLmcC1Om9Dt32hgOsqqDrA6VaIIuM88Nbzq0QT/4bkAn+mapY/S
ieZxKT8kSYbunW+tt982k6xE6jc5aNNaBNEDWt2hOcTcwztUezxyKIlgwV63kg5xKihwURe5GqP6
xuP4AHkuR+0e6aqsXuumsMA9wSaqY48uSQLnecDKgw73zLML6mG32Zs3fF0htd7kWRT88Wk/hJ23
65QrEo5j4ab5nQnRlQcYH/c63Nq8IcMyCa/DJhYGQH8zLyVf5duw75iMTZ1UfSYazj6Kzb2SyOGu
H4cTkFDxOJfnfA61hTTSO+Xyjt+D169bcgQoth3MfChlPMusEANSDJnH3tVc8/59oRPggJQRJeqD
53PYNoxZvJz0tA+pWwExEG6COJLcxJkltgpHTTdQ6/oXSpP7xm0Q5UdpWCJS2djk1K1a1LeB3fIw
jY1jKsrNSSbKVAegStNvGPwOwVi+dxwpJV9CtFz1LiPRIUYDJZ/3Ri23Vjp9dct0Ft5ugxN1F8Ha
rVUWBC2iGiYH0BrXXd3p0K6eAIDZCx6eMgj6z9UufJDRr4qnlqXr3bATYPERPQEHezzkf5q4GCxu
yj2KMoB/aACo3ulmGBhTTi2YepMp6uYX7LP+dO8uW/8jlAiqG+OFwSXu6+UnXFVwdLxyGe+B7uG8
NKZIy6E0hv+Sta3+s3Crvwr09U0OIdKJfCDRJ/ObgulNj4zmh2od5ING7oFCDA6WHKXVGiiHVTaZ
9YghJ3Rzm76iuucQXErQcm4SHU1Z3VQzP8UW8ejreOhk2pWzfEuQHn2VyjVvzhjFS9p6nfmi1JxV
tC5X8cQ8saNQGfnHR3H7R8plemtM7yQpZ7Vb44FCd4JyTE4MLbYYKiKPwm5nd9tnnVYEwAA1kCAP
zDVEU5y6i5FfgavlH9+JlicpWFDTOV7nH88pOuYRlqDhkENrXrV8QEa6fPFvKkbSMFPVOvdoVsit
JuzTJ5h2HRBZ8Oq3wwV3YfkdyS3QxEvb3SfnaazCgxRBVB1yvkA3Q5Yb8a7mPAdZ5fkVsmUyw+DP
BwRb6flMxrTCDyzTiVqp2y4G7oSRa4Y3AqbUf41Zpx4V/q4eOsXkebRrMUBrQe+2h6RepTmZGlp7
NGE7ZjZqJJ8sxyV63HMuGLjx2PwdGqf5YiHAx121Yn/1XOvgWhHj9ioLWz97dnUBjdwNFo7rox8y
9Bow0yrW/cOq8/G+lZ7/Z+rY9J+AnXyZjSiv/lqcdZ9Fb9uXOWwYsVGA12jCqtx/KwPb48C3lX8v
oLnLy74rxq9y7c8KRHaQJt2IcdMXC7XhIl2XhPtC2KWGToJMfA1DRC11Scxluo2d/l0xXPwNWUEL
5g2f99NnSGCagONKjn24VTob573442oXMdEAo3Nu1SihK4J+43uuWuKn02Xx3Cfjb+appZxsALqU
9ReKOpYQq9f/DMriNi3n81M8z7LqL/eh6T56CGEe6ESZKhMAA04Kd1AmKaATUNQeNuVdqYcuyibp
TdzDG3/oNJZyKan3KAHHlSOsupRtjnBoLox+KuYciUV9FtqnUm6lRY+2iA92c/XgB0DdfPO1eBgm
XTxipyE8N3c7eeW5Ggx4OkuUeOGCgIDIpl/iQwSo9gaoOHw6xeYFx8hR4LLrVLn3aCa7MMNXAnDF
vhbCStduZDPOWcQbjF7dk12oiDmI0ecHLzVU8oFXAJdHgWLvQ5T+YA5+aZ3LTUC/c4YX5isegvw1
YIrhewrF8u36Oyw/hviKmhk3sCzqYivf3LwK8msiWbeHbiQx5sSrwMGGNI+7sg/oQoaBXceCyd2f
wJvaIeSqsP10KyRnSxrpQjcHreS4pyK0+QN+i/V59WL9vUotp0uXzJCbTkHFM7n1ObSkDL7A8TaO
v2gqLnsfhz1YbNVfONuIssdIMdzwUWekDZFXlpnFcvVb8fzwN5DhfpqdNvw3yFKFRzGt3df5eGBL
g/Mgy5tJ4irKTUusIXzp5xhvLn6H0i86bigRA8+AUdyrCXMB8pgwv98jRaPfDhCHFqHc+/WQ5H0x
MBLJ6noPOhDsIUenDoCB+uM0CtvcN0nP5dmO7ebx+Ez+dRPAOZF54/SKHSpsnh1t6p+t36O/JXpw
BJml77zP+8hSFChSd6QpUdsUnoPHsFicnLE8XP13nsL6Fin+j8lnNWZ+NzDtRRXzebTHHomQnXIu
a29Az2R2SE4O7Hosj3XMyJ6ugk00raHrEBslm3eFKKeMjyTd0c0UdsL/6hDDcVr5XMN1tzqX5Tzy
SgD8J4+zN/iPAwh0d8g3f/scPW5NHj65fXsddUNp3dThzTqj/Uq7pK/eNgtdBia1BXd4sDeecMSV
5XFB2DeRDTVItvmogcUIJ9e55oeb0Go0Rrw2iSkQsp0FiH1A49DFOq4VB27efU6YSD82f+7vO6cy
/mWtBufUCaPlBYfr2GSR7nUpUU0ACVIHBJ6g1uumg/90z0wimro4jXCUrpcmCVr4hrYKZ04gD7CX
ohSMDmTlQ2+vfsP7xI+QT+iYdBBCfKzxXbNVNJrNPvD4HaYy0IPONGFEt8yEPhdYArSCe6PUx3WI
lH+iKQhIu1786aOvve1367iDSOSCcT7U2o4vUeIKdYvQt7qpOS3aLNrOWxUcM/8I5DJVkUbMXh/k
kIobXIvQ2NG+1V+ylNsvHB9/69TMTXIAt1LxwyRbAGEaDnf2AfJvYV27OJje8cENwU0Z9NUfRAda
M3Ctw4JkphJoRgxWliabBhRYlwWQ2nyLnXa+WxGaL1kM3LVf0pA4VOUDXKvxXlFY7N8MXit6eBPJ
fH7TRYMV5DgRwRVdCaj8L1K+tw9T+Ga5gJOP+0PCVozGYhGkQ7JfA24X0S4+EyLRiO2Kw+S+XJqk
RA1WxgzXff8yQ+MjrHIq51sgj+gOe9UE+RFxSII0itW0PcgZjRBM9/kFkIslrNDr4nXMYu6UkAk7
QmkG05e86n6Mn/bF3xzIyp2PiUN5vEBpu93t67wDv+2cDAeIkeW5QDS9wA+5zQimGTdvFfEI/mHp
+4nUH1SADJlNa8GK54AjZ3Iblv4YYYiLZExrjS5FlA0Ug+Cxgb8lxrEZ9ii/HMGWK0KKGHCz3vGg
DKHguvBE7NhANhNRavEJ5L7hbvI9qDmJjJzMuGlnXe6m1YO08kXxwvC4rceSBNVrwmRcEBanE4Ll
eObx3YxDqsJYtzZPG8vxDo8I4HNFKjjLNIKTCG3XXrtfQeM1+Ic7YjRJW10bc2j9Vf5X7h1noKho
o0mF34LRJjUa4HThsH6e1Kj+IEz0hyNbvXlbi7ItrwSDN9xGNfhPUeGRsGXcgSdSh512YQ1d925j
uPka6zV+IS44QXxEW1F+VMmOpXP3PX0/xZX3t+y9KDjUtXGu9qDoh4cp6aenzXaBg3YjRsHen0f7
NvebKZPOgiqMiVzgvO7C+b0rFXtuTSwohzwizvwAMi6fOA7gkPCYIcn1OyVEWtdieeSY2tfMrxs0
jkNNotE2/v8ekDpZ097p9R1HIzwxOqL8AyeGurQkq5oDggfoQWQ+46fFHzcfRgRv4zW9Kc6/wnSx
f+EIML4MmMDlKnFCGiQ5XER8dDef9ZPgcf1fW3jzxkDdFG9k7K5PtpxWbpghLL5Gbe2/IkJmd2qm
pPlOuKSnY8iLBRMx1vFIBE0doQu1jJwZTzxktywF7w0uBgY/Vu/mB4y+++qHqNpSl2j4N1hcMJpt
1vau77fki+wX1DwwxsEIC7DXSJZ9Ef+n6nb/rtit+FSuQtO2tNEqs7qqA32m84I1c6pI/a3IdqW4
x92x20uQOljP6uzpmNcEsWjX7y3iE8fhxy+g7a7nzXo6dSJvC3gPpChRGdXFdIyHBNk1dwuVSnEh
9yKDkB3vaR5z7CFyQuc2KDrKBip3U/0F82PzPvacygxxSI8Wb+DoR/DY/iA3rR/xtWp0hpXXiiOK
8PxRcz6VGWO+y5pW9cuLh1b8zwB38xqE8AiS2/G27ZX/XCtfdk9jvS1E7STVai+9eDUvcznPxKDu
k08M0KB0fmF7v35eBn8GedosphXr7KCNzC6Epu5e3MRHtiQRHivZsy6aeQyng6d5a46FrgznY7JN
3VUnjbdgx91knICtBpwPga/5n0vsPD9DtQ8iI2utJ9Ggdm39HfcIJy6IyFjzu5UdB0EXTfXPBt3c
r2Q14Kd2z2EuXQHWnssSOZlFAYO8QTvqe5tM/poz6f9HKNQZZrVmkxwEzIBHrDj+J34QlB4t9qDP
sTJc5JN2k4tRbQ0sKw6h9tKg73xmVxkoNq69Gfl8gDloc/fRzWaFEzFtPE8pFCaAJIc8xybDHBlF
j2DTTJsBroCbekJ+d6iomIwhDxauJ8Q1/ptnx+rbxCh7M6Uiplzcf9OYjU6cP3a1RGfE5M+QC+1a
Nqfeb8MX0XoIeRZCQx5n4eo9G+N82VLsb6iZhsjpX5uosn/jJXRfQggt5+jmuyMOZZJATtANVVRZ
M7WMpkr43ZMb6/iZ9sb+0xFzgGCp7wsv4zwEPqQdrrvFkiY6fM2T/0WePIJP5Ljt1YTxaj265L7r
jH+P85rjeb7e961HIwKA+t/cVMWnB5qGonY0bQUTyyOWen4rLErB9ay7ROCGOAAJ/Hve2VIeUCTt
0PBRPFygsOdP+mjreu492DeGYyT56eKTk3YsJh3d6zoQhqNauQHYX11/TENTvSZ5kzxCG4K4bHm+
izPAZfo0DgXWFlNJxn3LyfbF0MCq4aGyTHWP2SHFWJV/hyVQxWlOxloeLFqIBJ2XttdyD1uyLpzz
DVM7o6qOci2BZRWKDv/otnH0cN47Aw6VZb+a+7mYsnxZwfbIb/Ju53WXf4qGUywl4LKigYi15BRP
A+MM4c3Tvw3D3201tto7rJMDX17FuAr4pnkgs0CPhUrX3YoPDIj8xsYSiR5Xu/vqm4iolhHdpQc0
xoiWbk3vYbxpuuRJN/kepCzrJUND7rq8EI4n/myVv//Jq3VxEYSfcWbC4JYvWc/+mO0bOEy200CR
n3MFLYQbmNFja4dCIJ9lrU6tH7l32MWm+zgpEBxHbstkX8hIUxaVDJvhpIee92YL1bubZstPCEVl
cancOXkSXUmKRpLA2N/46wabAR0+H3KO/RmLBXf9lVfLRKSzpktZd5NgF9XQ7keW1a7Ghlj3/ZNn
XWQBaMZmTDS5A9+FR245jqa0w2FyjCuzeMcCnRlnWb5WfxPbcVsmtz4lZdLwTpVJyKSFAHVHPlcU
9cEFEqz+MwXAzHHZhbtmbY8BnsHMNkguktGrrskfS9q7ba3ix6Bq1Hjw111h0+rR2D1g+YHUXvAp
8GWMfvuf23TufLLlnpuDNUBWp6JkMD64fIvTYecQZ7aoYan4YtUgXFAhL3+uxohZYqT6QiD0XBlC
LO/qr+oMheoVvo/nXlsSXs41AHcUIugPNLMSErKfw7sxgHfO/N0OSIvjoSaLUeYuyltOrlRApNy7
uYvkxYCkosTbkGUfFP6h//p8sH965dYPElW6cxYMgh2DxkYsov3wL85Xlj9wXbBC0EMmrjqAsNGR
cv4y8W06Y0XpGEHXKX5wB390L3IZ738LsTl3WExX5wYzmf/fFrj+GZxRyDPpEiquAIbLHX7U6R4w
F/guGn5/KaHZKTjIEAHxRkWmdp5KSg+arJcOP9jqOMHrMk/QyuMSQu82zpxcWVHo7WLj937ZucHN
pQTNuKpBT560v4IhkXG23CKI4JbsUZ/cMx1wXShn7td0nwExLuJqnACwPNwEL2CSihGkXz30Ul0T
P4VtjxiW66Z4GBVK4nTlW35Hob4+nBc9pDiOwg8mRD8/4pPMf5oBBDlbfcOGIU2skIlQqfKZlJaX
uRhKG6HPUsAVbU2w7pE0PPmjANtIhvWG8rWUnWbzdZLxk5yhUAGydeqncMcJFUTeACnh5lYDmvRu
eHV7FAAcsugvZEDmcVrNlJIfeIvt38SG+8oc76MF2YBqA1Q4jI3opKV6lhVehgwWKvwO4il64g6a
/VOfF/DcPLrT0dHFxIg/Df6QnU9ne/JqwJ1jbTQw9v84O6/eurks2/6VQr2zmjk0uuqB5InKsi2H
F0K2Zeac+evvoL7qe3Wog8OrQjUa+GBbW3tzx7XmGlMzJ4SRgZnezRrU0Q2Gcrjh5pLV+t4noz1u
AlUyS9BypXBTd5ya+zjPlYNJTES2TQDzPOHzoZDuaooBf1eeON3pVIs2do+wot03E/G3e2rPPNim
gpEzNoGq5RtcvBrjemr0pHjiXSA8CRaBUdJAhYg+X4+45TZ9IX1PskkVuQPyPPpl+VEn2Dy/0Ch6
EkVTu6JENf7VwDXUIuViZRqbhEJoDJ2tTxAeAVA4fkFd2uG3YVG6tFUKannsvB3xor1ccT1zH97C
DTAPAP0JrkEEckYUclHcnUijZpUIf0gIq/IPoc09u43LdmfE/XAvCAmwV8Hz+XRN6yZxK+0uN78s
+J6bx6uVcnwTjC1ZsNNaa2pYqwbZSmpTesVzKEHK3O5FVIIK1Z3FHTkKy5401b+qhgRZ8OXGl65i
GMzRuiyKZB0VfeannLaOT5iukbrL7NjjyN1UksdCSrEF3MS8KkJkTUTRfCqzyZ+HvKioEd3EGWoT
LjEEvEu9+bbyGy1rz5e/0QKxguDZK6uUz+HnKvswKUw38i3Z4ar0VHIVZuMhF15RjbZJml6D72WO
uywjAiD3PtLwkZADehJrZaSWCIDXXwsTw5l6KynvyGLlwA7dqjyJs9Qn3ErtnI+wIyEaGde5nruX
R2HJhphbmwkfxkw3RROzwKQUvZph844SBDmw+VMNDQV5HOVSXAsHbfiJ0a+8AtE5Nw1B7km6Ns9B
SVugLxBI1nlck4enHFC+15GZcM2V0OI24nBAPWftioza7VzRP2b/MFsc6iiN9XkG0r60mIFmTgUi
+hfSfYDwKLki/BsWX1KVs+BAJIjU9uWhfd/R0/YW82vUBQpTioLCw0zsedH2481Iu1foMRS04mXj
lmZZPlpa4m8vt/x+ZtMy8BkNqLFhyEv2Rj1quRSqzGwcksSjj7aVg7fIP8hqeR1PTAKZNlRkEMQ5
XdE0HSpWyYpWeqk5arP0zUylI0n5/pOB3npl3rxfF9C32T7IHpMQ5GueNmeqlmelAjO1ajjNGkLD
DhHHrxTXSPvLw/d+TahwNgzcyEn3wPedh/cN+ZJSrqoaQs4Gr5TLAzcYarEoHw4dBJ5UJVeEc1ds
18+2qABiogKe0oQlvVDihV2mLWu+CIT+lzcS6LKaaI4kVkF8D63RXOGMnJshWCeYFEKY4J+WdPEe
RwiVzC27cdXyXrGmoi7cwqi77D+YilgQwYSXVJWvthjLEDE5NwrGciqNEq1zY6E5GsqVVs6NH7hy
CfEULiho4k+/WG+g040DWmlQCOiUFlrTPgrkajMQYyWDTyzs8hQ5Nxkt0UI9wLWM3Wxe+2+miJ5X
mj+a8xSROuuhzwCDOIPvG8KmTbjUrOwkS0jRvNIsxRAZRRVqxNKmJLfahDswlceV5KfPIQk99KEx
0pWpuDbrbLYkFpru6XIXz2xfHAxAyCT2Sozf5NMuTp45KRoiURumABWdkuHt6pF4q5JG2zLxTKIQ
irpTFQSPK9098zWBwJJthsnE5qIuLiqdHOaBWbLSa681v8sUXkecxVK3x6ys3frUR28ud/XMapgv
ZFizKBJH0nJrqXurQWOXkMtCHupqkC23raCsuZKf+YqGDNFNl6AUgX5edAtcjR9l85rz5FgaUL3H
dbRT6loSt1ImokYOI3G8k9D/Bisb2tmWOQgoYcMsEF766af00P0PDW5gdmS2vKMphvFcr2ZtECSp
pZ/s7Yhde0o5vZWGzywT2hO5XQC7Rt82/2JvlklFybtBhSkDGxfDsc7EbgMJVniwiKCs7Ghn+gj+
T8HAhKUy24WfNlUmojz1Wkp1PrV/rlAhLRu0isLbkATSQ4FM+VssWWu84jMdtGY2PP5BGhEUcfFN
KZiGwdyxSEIJgI5YIUeitMXb+SJVCh+epBaaDwuXDWxvgGCedjCi6Jx4Eh30AAK5VoOOqS+1Nd7b
+6UwOy6ImKxqEN/0JRJQ7ExcPEp8YAQAAndxH6PnC6Ju5Sp2ppWZjcf/2D1B6C+2z5Z6lTTTLJLR
BhrRQso01DqB/uFlzS2aJSfDUJRF6GenIzaIQTdwfUdkgWgkvauA6+RuXgnN2vo60x02Zgmavcgh
x0w4bYiMkupnxE/tqYdMGqZy5SBYXCEOv98VXy1F4WVhEc/1Z9EbmQtLP2QEOelufGTzDMdNWKP/
KAaq/jdUWBfj949OOWC8mDUiUddma5XFvhEi6yZ+wI1ZUQqebIFZbItxGNzLrZzpmGGyL6oih5vO
O+909Hr4rX4VlzzFrZKUYRIY15jJ1FvTaAOnGPw1c57z7fEEwMiU+92Sit/JYmsYxHWQIAg1+T/s
RMmuej6VNpEY5Q/tUCm/LnfxzAShi9iYccrA/H/39IaPT9UKAzkGWUjlbk52IW+mj893mDwExjRl
3nWtBWjYqnVq3Ck6sNtE9O7NgYKnOorHFSPm9/cCQlEaR4nBWUlJ/GLtenoAbmrGZypY26HUhspC
1Uz/Ccm+tbN6kxrc2B9I4dVNurs8jGe+HNcteIEaXoUSsZTTmdKFYliWGJbYua763ygB0r5RmqfW
2yQH22HrMZKi7eUm3x8rGFMwlHMmh9NzeWgHvZxZPS7atqdk005DlfUjEchIXgsyz/N7jwpeyc7L
gHju5YbPTBkTrKfJAjRZf0vWLL6XXGDhDdodtKrbSFNTuy6K/sP3WLpnwb2UKbgC+b04v/JioJbf
RPhlJWa2o67RA/ImZAZLIUlSbWWCnps6HM1EA+cRRTR3+v1aBUssdKq8S80h3MH2QluXhAJUes+I
buARjjcaQbudwuX688eH02AYcRsxmT7aPLXe3ESMkNi1r2uo/xEz3UswnzY5TMWVN+q5CWrIvIm5
Q2o8VRd3ZphPhQJxHmWyHht2jWDhhzJA9UR/W+6pE6n3/0GveEoDuuXZw1Z92qsJnEpOiSCzU82L
0KXKvdCReQHJWpmNZzvGK3++fPD/zcVbHzIVslAIDRBcPGoIcAYmYVLn1pDs41QT68eJyp+1SNiZ
RmeTFN49DCZH+OJgmGRkysVEnc2IYxs5Kkq4RnTwOVwbP03dy0P5/ibH5OCFqvFO5VRQFntL2sdU
2YLVoSSqobjICaehTL5R+2WUAxXiYy+vvepefVFO48GzZQovK5Nx5faw+HpDagW+TmrCtlh26Sbs
GvGmHyCIWWGT7T2T1JEUlvUuQBmJB6BAesr2R4OEYAojb2XqntlvLMAnbOmKzt6+vF4GPcpM3KFy
tDWVv8FIFwmfDyn+8iif7/ObZubP8GYdRnqTdKKH+403TYNuV+0M18IqUtWcVLGaOy0NhIPYk18z
E4i1RUIqGnC5iStPJK74VJ2bX3zxv4wV2BkWqzUHJucZKl320Y47KmrVF6UqYyRhon/sat5olzt/
bogJfnOWcHLOpm6nfVf1CW8KsIy2oSkl3DUqiIwx7Vd6dW4iGxiJS8DxFb7l3Os3I4wyWE2GlncC
CL3yuxf55BFL2X/GeHvtKnC2Q7y5ZkI52l5xMYDQkREISFw4KkzEXa9CEUiiJli5cJxthaISNh5i
H+zfpx2irskrZGxTsQn2Q3MLpkhtXV5aVEBf/j7nRg77Ho5WAu8EHxbX+IrLvUlRKw0JjbgVUKa7
Rt4ZDwUVw5/+k6YAP1vzxRoP8NM+pfVQN5bARyqGprgzvSYgw2ki40VN1Edf/oPGcLsiBMcVW1q+
wsHZBNChufB2JGC2bdtgfIlC3O2aJN1eburct+KKxgEIjpkTftEvNEyqXqeEbhRFSx9AWZi3utmZ
K3vV/FOWGyeQZGMOD3FCLFnMWdLpYzgx77Ia3aTdohU9sDn2TwERqm3RUu1zuVvnZgbBPiSKqJXI
YS2OP6WhaDzVSZ3B08qcaKI8roowCeNeH6x8rPd9I1qiMik4+IhkLPvWq5KV1Giq52rqahd45UNu
VkekcvperMJupWNnWjPhLmOfgOfLLDc7nYd9qwi4jZNe13pBP/qpJXzG2onSHamd7kH0eSv3zffz
g8i6hHEO9wiZStfFWg5FHcG+kFPUTo79eyFNIzE3uX+8/LnOtoLLIcuYUAY5z9NeCUKnDxN0JhRt
EFjVzq9ukXCueSqdGbv5LkSihccBQef5z99stITrqY4y0dVn3djdS5I3Syao+j2qaa9/lUsv+fPh
bjEFCTLJ0OrJ8Cy6pehJFfoBTwIIY1zWU/l3mBkf9KgmsMB7QGVbYkPn8FheKWUB2EQ2dTzvcgWK
bg07huiymjlIMShQE/lmK6v5/ddiX9ew3+RNyRVzmRAsu4IKnM5Cz5eU7bUxRd6N2PZK/+HdnZIK
0cC53GB3l83F7m6m6H0QgMSQMZp8k8bpyzRLzSo9WrPBetchXZF4gRsiT2QZ9/LFooL0WwmtSCGi
VI7h9zQXik3cBB+Oz9MKT1OuE7NZAh06nX4IQVF7G+CGK8pwSzvOTFA4/djHyk3XFsj2otpCREed
PIsf0mW5mic718952+BFzg5CxvH0N0h46cwFv6iXqgStTFgpwbUaaulHz3+Ok9lji4OZk5mt8bQZ
ETx8q85hPMrCTNdS+pcMkfH+8tqa79onRwoRz9kuZM6FW/P/nTZShVldNbX+o6VGuMiFBz3cp6Kx
zSXZxvGGCw5FX/g1rMzJd9GFuVWKjQjrqjMwaPEN0RJC6x30H0N7tALzOu02cu45iR650/TtcgeX
TRE7Fsk+YJJDxJUK6MXmEcKVmJCGUhWsD/4ttBPPafu0uxLgrW9EnTo1InvB5nKjyxny2ig5fnKa
MleMZWgvgjqk9fkQ2PA74gfqA5LNZI6me7mV5en8Vysmd15FmY31FuuNJLQPDpiuBZQ59YhKhDkU
C0XJoa58TTBxprHZLIQ6NDLeWGQsdv0qz7Ep02Y1YuDRVl+YjxxonJhD431w4tOvk6YWE1/TPc+Y
SpqiNrGniCH1dsBVPnplm1sh8oM3BnE1dpLFvti2UoDyHjojm4y268kak2ybjO3lb/R+JpCdpQqC
fYpoE/GR0/VFxcEUaTrFiV5YFLxi6wDCYvLRnZfMz0kri1XMgwQmwMDjESCoZ8PN+i7G0vfLPXk/
AQhHgGbFnGPONhmLrzIkQiP7Eyg1TIv039IAzyGhQHfmShhrVkmvU/fttsQFg8YIEZAtIb+0dKjr
YSSoY0cWiyw6FBnujALF2kZ9XQlpeYv4Nt82etvugb/KzhBG8gFKbrKyN777dryR8TyRUG+Zcw3n
osdpCWE9DYxvVkgFQAlm0Rn0eO02dbYRFB6MKRkbXVw2AvYFjLD/PR7L1NoopaIdM7zqrN2Hvt6s
iFF5CJFCoSH8TxZ7RZskgxXoQ29jhhegXC7ML3BTKCFVo2Dljbfo0V9NccvFqpUcNnaGp1Ne8Yww
zrjc2npK8XdNB902EaSPbRKvrZD6ee0MFphLJcKU52CksoBKm0CGwEZF9LUiTmsJu6V8769myC7M
5ns8V7XFuMHN6cifCcjoO63aR0M5XkORa2+11td2AQ9mKrsGjUJM6rf6GBMVCqVb/6DBbXH4pGsL
fbEIX38dnVTAvAS5EL+LR5qZDEIPVEQ+Doldq3FyNYAz2IbUtq0Ycr/qwt6swde2kMnJTByS99yN
T7+jqqagn0e+YxBVn1uKe0BnKbvJi/cgi/daXv1ow/5HK2Gfo3qfMq39NpCBHrn1lU18gEu/FqeY
98rFL8RBbnKgW7NX7lItRIkFVbkmiHxRqizlJYX/Gh+zmiznPezMLN7G4ZTKjzDhwl9TCI16Ra10
ZvBnG1sRqRKCCeB7pwPiVZPcgv/sbKRhMHz1PHfRDxduGUSJe3m5nllDJ03Nv8qbN1YpjXIwztMu
aHThEDMhrrmMth9fqbRisUZRss1n4WkrFWWtXpawhtrJD7ayNQjbQoY19R/0hWeVRAqQJIS+mEcW
LgsJ6DXmUR5FP6iKrm+FTtAfL7dybnIg9WBJEB8hd7vYdRBc+EWXUlUdh1K0w7I1MKgIkfyNr/rN
tVhAdZDbojgqXdR9+XjTnFGoytB6vF8olFZnUp9SWqgQnLsZJK1/xhdBOFDqrd2nUOVAp+n6PXv/
mjbw/TRBOM97C7kSl2m2hNMPKPSkdoQqgt9hquVNFGf5PrDqtWzL+6E1yQDy6URT5IG3jNcHYtnp
YpGONmV5j6KuPXeq+dmb9GMHwQVma7M31OpjshY2HyKSMrQAwqwyEt3FsUj9Uc+zOxupPAVW8M0q
AIPvC0kJdQfEbBHAbKx9kjAgOqOny59znimn24wpcW6hZyD9gqRm0TTiGYrJYpo2dQTZyuBFm7wI
yg1eRxQ7NNVa5GH+ee/bU0mFoElGvLqYuaM0eaovw8Ope3AH8pBGXxPf97borCOKG41iD4t4zf/v
/V42pwORKCErZeYso+UBXoMURsNXBGgkOLGYC26s1ta2gK+1spedbYo3O0WgsAw5sU8nKaC2Cb9G
IDOQA3uZA0SMxY1nhVm6laJJ0j92a8NlxuSsRlDBlJ1z9YsTWxionTY1KjC0AXaHUMG3KmKM0z44
SWalOk2we6JS5GV52inLQ3A2waAClJea9WbsgyhzEz3QflMbZsJCK6I1n+F347hocjmOCQWAJo4G
DqWehSup8UtkSI2blkm30rl328qrDB+JA7cr8tb64lwIpjEQQSLBEh3L9gCrJHWoDcpW5sX7Vohr
kIUn0cmRCrv9dAihinaRUVKlbMW1timDboLYpE+7yx9qubq4u7CqWFfMctmERHraCpVZEp5PKF1a
zxMfB6vDNMlvD6NidDYGRMNjl6+lh941yYjxcJll27Nqe/nmSyRDGZSaQoqwriR3gF+uOVbeCPcS
ZKU7y2xmXt3YbC53dP78b7cRgmIy17RZdkijiC1PO5oMfduJMUZQzTa0W6ff5DvlRnbXQhvLTCab
xmk7izOH22KrlwntFO6Pp8zFe8P+fbx/vtyZ1/fIpd4op70Z9Dqg8o9W5B2CAhsvj410C+bFxf/E
0Tak3uyryj6Cz7fHr5fbXj4+3/VwnrhvLl88nxO1mi21hL3q9A4iePuXcWMcP3quLkdyXvBv2hmS
DB5ERjvqg7crKat/QtB89FbmxfL0XrayOF4ox48SYe7NtMUbxAEc6GROsbKW372Tlq3Ma+JNX5Sw
ktRo/l435eZn7Hx+0XbPT5/WnDNfzX0vTYvFtouQORmlkGbKDbJTB/6A/QRs825yjC/wOw8rM2Ge
y5eaW2y5Fo6VbB801zs/gb7avzL7+Mf5tHLhkM5sGG+X7vJxntZZbYACnXsFAcshWOTgGeSYru4+
777X7hdYQWsfbGW7WBZANaZSWMHcZufysGOBhZuvk/3ry21g39fuM28CG9jmysGy9v2W4noFSIec
zN9vdH5OW3GHI9am3ga34cGzk11rr3y/+ay/8P3kxS4Sq9RQUl44dzJwUv6n2hA/HeBsK8O5PJsX
038p2VEFrIgCMpf2rGi3O49SiLxqj11srPVpba4sNg3TiGozmxeaqX1rvX0IK7mQMTvLYlAkawnn
1zjbpQFcbB6RKcgawLG/BjC5w6fBNbZ4wDlfQjd0/1B0z0Ys2n/Wevl6/7zU8GI/6f0UL4GShpVP
8rF+ym/Lo/LTuyfcCHa7eB4/Z8fwTrnXPq/MmLXhXWwwfjOEej7PGIU5A3mB+dntueU5nm04xSbb
+K7pmM6aZPtdsGU5gRY7zShncVLPC4ME5DbcS+7n1JnsF88uGN58K9ur5/i5DYCEICL+uVoOHffp
jl3HZpqJ85TFhHgjsT4U1+LmoDrWVepg4fdQ30O03lU79do6rIzyuX31bduLUYYnMyYkSLiruP1G
f0q2wbbfjm68rQ/yfi1mdu6Tkk8gaYGojqT44kEQAaqOxqqo7Qr6uyhRfQueSh1f2qxyo+nhcteW
GwHXfuKeBDsUBZE/ooXTUdWbUPaCRJ0cQWmULXwkqMpSFeKxNk4re4662NxoCmUniX5qkEwDLtZp
U4kp64Pc4ZzlUaV+lVtZhh5YSVb20OXoza2oZLB4DczVssu4iopLNX6Q4I4aqnLvgE4ax6pLakcc
5fQuKtL0C6VM0v2HR5EIDs8qLu0kQfV5/ry5TeSAEqq6wKsRw8liA5eVPVVt0gdw9cnaXJy3sLc7
DR3kDUfgBiG+RvnVYh3gxlNNliGMjpF1meXAvqi/AH+DoVRpuRJ/TqSuAfiaGkVvE9muBRs2Ynqf
RKP3pDVZkwMQ6LruUKa6/ICapMRjqAoL0y5EfJMuj8u7yzc5V3JjukSoCV0YuavTgVEx0cgaw8DE
Uuo6PEeExB/ZDWHWBu5Q4/MKBlrrhmiLw2n3XJF5/OXXlm+6EtnBaRsVir5W4b68X86/ksL8IL0F
6hUfo9NfSQDSFOISPzhYLMSAhhXZxowi/U7gHxhBX3TmcSxkjt2wG1autu8Xm8JHQ55GPJgIvbI4
nSC5Cv1IdYhTNeaPEvHGlwb40B3EzTWV6JmW5koanTQ8UQW0PKed9OvZ8s6SJ3B6kY6UglonNx8j
aKHkqV4uf+T365oQJjEvsAHUaojLlLxviEOag7JyDFA4m6YaMHgq/ZX0ybtHDp+NqkoFSSYJZI6A
ucdvlphPckKJprZzPCHw7AFHUTtKfcVmQqXHsJ3yjZF4yUYWI/WGbH7yoqWjtLKDvV96/A7obuZq
JWRmy0jbOHW9n5esLhOWs77xc0/4pMYimkCrgYVzAF8MyuXDozvvYxT4IPWRiNSf9jvVglTJE49C
+zqHgDOq8TZNDWX/8VYQN8/JAjQHVMqetuL3HbmpMerAvODnCQkJyjBm2h8eP1VU6IhEZI1c5es3
fvMN41GJjQZhiBP2RXaTqLXkhgL0mR56qJu2g7f9aK9mzQaKSjIgzBx1MWfkUawTvGjhw0+hf4xy
YTp4eLKsPBLebyimrFGzSadIub0THVL1S0pvNGsHf9jMFUX4NwmQ9r1oasLGTLUeMuxQdwdPqP8t
yfqvX8N/+y/5/V/bfv2v/+G/f+XAnmbZ2OI//3UT/qr49n+a/5n/2f/9a6f/6F933UvVtNXL326e
i/pv2zb7/dyEebb8Nyc/gpb+/Zu4z83zyX9ssiZsxof2pRofX+o2aV6b43ee/+b/7x/+7eX1p3we
i5d//v1X3mbN/NN8fq2///uPDr//+fdZm/pfb3/8v//s9jnln9k5tOyQaM1fP+t//8HLc9388+8w
sf9B7hiUmsTxY4nIW/7+t/7l9Y906x/UsLGyXiuV4E2wsLK8agL+GX8E8gKdymulAWXq/Aqsrtc/
k+V/mJThsAkQbJc5SeS//+8vd/K9/t/3+1vWpvd5iGcZneGaxdJ6c56r8izpmCNgyGJQyi6Xntl3
ldyTxdh0LUVhGyKKORYFkVy13U3mh3L/WZj9+45G0guKjQk0DtxVLqnjT21s1J++X3jGj0bCOneD
kAxXFEXXwSUnlF4prVOMmHTBVBOyxybHqXsrFkUM1KmJLAw5BuziA2pFxkwCpGRiAEmmvQfDVSla
eS2KuYqPW6oYQf85kwoNdCbo7L3XzTeNTRdr06ACxirLetN05Rg/JTAT44Na5lW6VSuj/9NjYvYD
vqJsbLEco8h3NPQNJJPIJaB+O4jK8LlCA+/AqzNw9czvBEwQN3Ha9vzV8AnJBPR5qsXcemaWG/74
E6mycjUNAubRvucERofzdYOB/ZTFhNtC1NMFhjG7KRKuiKsXV3GssTL9uNlKeuEBLrGutFoDih1n
WIkFBl7fivpQjxMuu1VR4kzd+5suabrbKeZyitBYd8F1P3iIRW1c0smkD8GhCcbqU4vL3sbsfPOA
CEl2wAbhoqw1L1kqDRCvjTuyXdWh7IRjYeZ/cBl4ULR4YmMFtA+44kvSdlhpcyPeYsWRP0iJ/NPC
oQUcd6K6qleUX4o0rODupBkVj/FPwTd/UFiq2MzLfKeL0y9FD4Q7UWmLjRxGpa1WeEnHJvI3OQ+7
T7HVfhtZBI9FQVerV0PkzMcBQB7jHyEzYB8WeoF5mY47Y2XiOOOnCQUdRt8On0OJxMTvfirjJ7kT
Qyr7e6PVP5VZOB50C+zpseZGp/z2usREz5DnsDBqhd1Ovo1CTJC3BQbozS4SQGcWmLCYGwu+VnAM
WtP4BCM5kwg4j1DVwb2pZSj1ANwkc2xvzEYN9HtjbCwz35g1Ncfmn4Kk3The+0ZbW/J9oIIyo4K7
b0QpPNYV1d0uZixduaPOWgk2qj/BzRWLfLzC8wWTBF+opE99ocnPxmSYjtBMw55NuwS3qFoPGPNV
+5CyZEfC3R7/m8YLHD1s9G9MW8WZhBb0M7JKLFmov98HcVXeVF5U/FF8pbEzHwsKB9dO/dhn/ggx
9BU+nBceVatPJKwB0RlR7Dlxl8mO7/fhrTQo976RA8bFsttpTCx6bCvVQS7OTH8+ANag3VXKfmEe
ZSkZC2NXl8Iw7evRKBxcpoWrXoKsbVrNACZcw4MNo5GNFaDpCF6JyfUrPbkuqgiD1GzwKJfCRNv6
aQWlhwNNB225DzzIyyqJu33rAeYdy/pLUOXaD6HHlcLEGYKKZVB9W/Iewb2a67g2CYK0sQTJ2sIT
F7dqWUEjsPzCMT0T1nGK/CnIw29ToeHE1GTlQeo1wa2iGckZ4JViZWH8EEbThEPcKxnaV5XIvKtD
nKsr1MyHwsfpOdawyTTFqt/CYYVUDdv4Km96xe3zxrwxZ96071NlEsPW3fBKZTAU3wK1Nv+VCcwN
Hr7Jzox7cwezIQDHBKjqipoNcyfmlbkzZaHmgNZFJ2qxtq3DwrqOJ8u8zTNVcXMrEveiGkZXfdAL
VyYl3l9CTWxwoYEfXtdVshm56dXA1T6JrBM8vGdW1kzPVkfPtEXr9beynvyKHcvuOwvzBj4H7YZN
9e31C+Z1Ie7zYVJcWI/8BEHvX6oBV0WKqp7jfEYP9apwrDBdOfhBNnw2ccKy2Xu9u6ZRakcCUecE
VREesBpptrUKxHKm+WwBulvUvsYTgnpLwXkmhM46jPJdaXT9xoRy5ISFNhdr698xG4meX9vPwS9+
7Q092cU1f0Msfev2dQxzPx8+c7lvDiY55uHGT7TgK859/m/eF+ZNpgTKb4zVxAfcA6Ln2kgyt66m
6DmeCeNZ5k0/hxQsdmr4LXw57BMdjTff91gShkPjw8E26qH7BNVUeApJWOMWaQG1R14HjjAzr3uJ
LGgqm/0f0JD+TVybuLtLEybFVWYV5ldF0/DQPBQejOZ4HmPkeSz1V8i6MugFyPWYAgfctIkXyAEl
rEXbHMlr11iPGVp8wDwm/lyHmnIcjHHYNb1+h83Fp6aMH0c92w+ZMrm52W8Crd/JSX3IDEC57bhv
FeVnYZq5I0a+6pp+nR0pk3j1kb5D4s1EN6V7HAm+YkKZ43pSIlXWubdPqVTvJqERXLVrmUwjAL+w
asD6+HW8VVut2Hi5qSDwnUysNEK0IKEFItwM8DlS8nonBlnr6F2oYHdowKj0NX9fAUklE6+n4Brr
5tkoJQSGbYVtVT8+oWUOGX8gtLL3o628X1pp5a6UCZ+kqi9vOUss1MVjtkfbkG6i2cqSusXebafA
2nSTmeytJta/DDkWqnIw1d9GbCk2RmcIV9S4CLs6D4JNVknDjvzXQbLKkY1bNf8MYr2dRmMvgjZM
xwQQsxJOjzWe11dCNexqT3G7XlfcYpTiO6yXjJtCGwLX7Bvcbo3QvBqTjFB7jBIFQ2SbcijMAP2I
h7o3IrGsj2UTfS2baVfoWBTo1BntSBBgNibFv0I1HG1Dl3CJpU70T4MuysZjA1frGikUDhYYcUnj
fmqFctNqRroRrQHJpm7hxNGbW3hLB6ScMnBhPcHAs9B4n6SDm2c95gRJwDaoGcKxE0Hii1V7YL1G
O2EY9U0rFYfGmvfqPCD6NGbP0RgOHIqN8tCrurLjleVRQo19QQpF9lGq9d5RoHZCxU/MT3llyDsf
DDGVuh74CCEJB9fH4tytRcmY3MRQs32nS9aD52MakfRm5IazbwLZv9lCoQjC26lOkzuLFNCWvRrn
V2kUxIfK9Kqv1ajqJRHFsD2YuEC6XEjNCKIex4g+ys3RsLzfYWeOtx6eLTcivhxwxVXAtkWRPoRi
mTtTWeKUzSG98VJ0yBx54LA9tVV2lREzX2Hw3npiVm4rEf1dWuC/xtaG5oz06/QjszJhZ7Ra5UJ7
qZ1p8vtD16X6cQRKsMUOSrgKUzM+aFktXSl6ZOx79qvfQ5sXTEmcS6K86pimfnwtWdUEvjWTDp2u
oiZHJTo4ALms1CW4MeHHZCkjpOtRxn0kRPZgE/cYXT8UeJzLemBdUyzsu0ZBrqMgcnGThzmR1ThO
tjmRKUwUxOpT1ocYESncGHVz9J0iNsYfsC0JOiRy6ONkYviPvA5619C6aZMNffASabm26bM2IjeK
2wf1KxqTYpSwvUgLDd0RKghv6sf7opeth8Kr5yv0sMXnRrgF1Oz94gfH9xZWbJumZP/vxGb60g3j
TvfUxtbBZh6m3joq/ai6ejyOL76c6r9NINM7AVPCkhoqbGMVdR9GHiY1GBzvBikCeNDrWAcFucfD
PuRMMiPvj5Wm4UZPDIAaYfytifv6hqhv/qCCKnb6LH/Cgi/eFHgGH7MqDj5bXBldorvhQQfP7MCx
znfN2OqbCFPYDeUtfzjRHycZdAauC+xoonnbWe2jJ+J/ickpjM4ev/Z9VXGaeFaQPqhguWxuNexq
5WB8Tazmc8TV/uhr9W8DjykRN27Yx4LiZrOUM+lx+sSBZNIbtsus2nZy9FPvI8tt/ejZwBZi2+Oz
aEtteVexxqjSVFWb2gJOWsxX0A1zcPpIBaBP4MApAjfddI1xA21JvuYtku4y2PMO3rvBEwE8CdoN
qIUrnyiekxdIxsJCdqBgzmZUeb/FpCx3K952OKxnxTYU5WczSuhfJGbPzTwjuMQTRwwCWwhya++p
YYFNNo7PLS6eVxS54aEcgXeqEqs7tlCInFAcP42Zqe/VEiv7kMIlu6v7xPUS9TbT9GeTOG+UqfJW
NOJpM+IB60CKFbZ16em+LSYxi34qHgWDO6Xpm/NHfVFCE0Bkqbf3fg4LuonLl74WuOgC1KRWJoP3
jQPzJzkw2ocOMx6gNaEuHydMAhytNCMmW+s91WUhFC4XLH3bc1vCAH0qD3FYqTvY95UzJNavrsXI
K9bxFFVVvlNdyd6h46jbJwoWKkBmQfqXR0/txX2DJu6uw+pAwCF5JwSpf5QsdQatZLiGomXD0Aib
kkKoZCdp62k3E31tjm0l2/BI9w++pjKduYG7BN3ERy9QhK99A/C484aHMWufpalIvmR9ZauNWjzW
ghJ99qnX23VqpXznXVVvB1P8XVKReCQYxV5olHfiINxR9n2b4rXWm9y0MnzinKKIMtSs6XiQcqWy
mbg/4yG8FhnXrx6SX2xmSr4jxSyYo1jHWMcdqvIwyGggY+DMDUq4k5N4h7xLFmF3FOp1rzbZY6+a
Dd48EfZaHoWJmF+I286amj2cY7zkMt+66jyf65mAB2vQ3hhWh2VSKnQvOCdWT0oopTAcQ2urCr22
Z//yOSwL74moW3abhPD3J9x/bvrZzsX3TNHtYR67wMcPgsdg6ogV73tDwcRkrLU7MG5x4SAPrjEW
bPobrYkxzpMU7QZT3NQB/NzcRmzOTiDg6AzrurwN5THdVcUgAsP/P+Sd2XLcSLZlvwhlmIdXTDEy
OFOkXmCiqMQMOAbH9PV3RXZ13RRVnbJ87pcss5QqEYFwOI6fs/denOKDTN0+GkAsYbFk0z19YGW3
XM+hFCu2v5qjxcG7k++AYhbKN30NK81ekcnUWRMgSn/PJsB+hFfibkJ1uEOwLc8tD/ZcEhxsbXMd
WG6hHXOrM1n/K7XOaL6uUOEDaMI4EtmzvwBn63dzlzhPgObV+3QazXPhkb6dLLNCYe4RAJ2u6Slv
yvsJgjBxArYRA2f/QnKevXdNYYV0/52gGrvpME8uM+usg9qe2nkX2+uS3PHt8qgD+GNuJKX5EFys
x60w33oiUhBYlxkoAGF6d03TbBH99+G9tWvQrgUcZiq0pPTJ4FBDKRs0E7NNosKMKNQiUv3U4G8M
XXm1kNSLd28a1fQ4uHpKAHBR6CH00fUha1Mt4ixcgj4Df+ekhTxzRB2j1kkdslG1IZT9XD61Xt0+
QDTgNWCyz950RrXt62rsTwY04YtM3OljXUr28brT9w703ceawZ1fAVmMFlJ2X0fDXsDsSPrrfSNu
yfPs3tTOFHTaQW/6aVkssYat0R9NK3sZsuI+U9sbk8N/mqlfK0sMzy7trKCEKxMLJqe7xku63bZY
z3kHPLC01vq106vuXOLN9Q1tzr90QIrOsqAIAF73jbRXQbhNsu5kb21n02p+qN6kndI5287JjMxf
M+WyN8plpJqQDqYyHjmvSIe92SCjtq7xLiJJv7do22BXJO9TN8hd1dc3PcevgUiW295ZmnvnyoVL
bLe6yqHleaTiu1f6JN85TBVgdgLH+9o0VnXm1uWhU7nmDpeBR6M3G+4divE7yWFr77aJehI0HQL6
nOSLW520gb7wsFzvEdN4EsI1PtDWoPMG5xWqmW2FW4b1lEzfrniYM3LSSeB0djPdvAAg1LzzGnxE
sJ0VBMWJiU1uQ0jcJfUj0O8lSNFVcmOy7igoh2IGkNTKgJ1Gzj2WziI0cHrADZqyCFLutAMYAvFq
hL1XFjK5LOgYwY6tddiAT/3arnyoYUoLptyEQO910dUPG2V11GSa8myPHE+yfhlDqTvlrrl2CVRY
YLFS8LZdS/Xgdeq453NlBw/hbECvoboxp6rfpeaY/1FtefWtcYQWYzup9kBQh93U1evbINh81NTr
K5+Nz/xu62R0inZzv7lWW0Ykrcv9Zo3u3iZBM15p27xWqoSCmZtkSeVy1D48qTYvoyuGiiAW6T1o
wlVvu61QvzfemECedQHKjo75Q9JOChklpWFbuIsPTb2JPUmHRociTQNlES+0oJJ32RTtBRz6SBKq
055TMXYkyzbzd+LcvxipCbE8zbu9HAcKGwvI4ldMmeaDvqiQRZdieXNzMbKFmO77lAOUE4o67Ute
3HWwwGp5GCyleJyGhE0YfmkwQy14UptVObaLtoVDl+WBKXgJtRmnZj9F+ADVr9VAfoGcOYGFyt+N
cq7662sntf1Jr4u7sd8cwDhXnKQ95C7FQ+9cDFsp19O8ebnYZbYBt60GQ6fDwDOFMxjgFXNeOgUY
bal43QEqqsZZLe28WwaHzgPdtvIGflL6rdI7mJgI80BGQR8Bv+pOX2otVcNk5f3f03MD/GgnJ8+W
Slitio4/I52PbZ4L8n/h93SKovyQAre/ruZ3Q5dOd3rtLMc2gTJJoE2+S7SOvbHcbjzNS3cT/cZz
4ZTJvcLPRlG6eneIzTUanLYbrLISNyJRkyN7a33JSs2Iaqtbbnk8Rt9Z0/HDoxASbfoO/OtdsdRH
k+bqWWmaL6OWPILdoB6a1ClULZLyHJaJm+kfdc0oFln4V1sWUVXBXejBTp1oLlZPo2bqVEF6qJbO
sz2T4O+S/oewII014Mj+zCgKdEXSRcaqhxaFrK8QSRJkTIP8lBl3U6TrzuomtngxU2Cu4gi8cnzs
FZdlMxBoA1ea7Q7WwVQ0c5Ch2j12BoTtalxf0ka+tp0HJInE/6GZ4pbTqE88+3QDQSCHQ1DvecAB
HmtKciNG6CUbTe6TozbOftEqSD36TLlmuGmYepkT6MVYHPDbjPt1Gdbd2q9VqHrlse2T8YZjEkwY
XJPvkwNGmmSVhWdNvzfabt53nhKbEwQvPTfSneg38weGi/7RRm0QbaVJa5Z4LSqFqgiMHsX8nC2u
r4wFoM7M0iPOVh6te1nezI1H77Ue8cF0VsMpEnCMVOHDOpmp3hXFqNzknUKuLKNfM+KV4t1iTcST
mk9PNayZUBucBMrnXF/xsFrQWUYVd3aS3U8j3QN1dpRwMIabDYYADwvtWyn79EAEX3vT0EuKnX7m
HGVwyO5b7j3GkqC3NeVo/PnNWA5PS7M+oFW5xviWgOj7hKqv63qIWdAuvWyKOtIMgtxajonUl3DA
6n+Zi/agt8UXAXJ6EsoHynElVHIdB/fq5Bc1He7VFQDX5IwrWInE2W9I3EM1dan+yHd37aHntNK8
0uLpggkFNYcoN0MFnrrwHa91e63HLbNMf5N1pOC/u5+EwQKYSYjFdh8MHCcIQFE6YuImxS89A9TR
Mru3GQ93YOoijyb4sQe3ds7w1+NBb1/nVSUCrcJNv3ZuAFDyy1DkbcTxIfGRULsxHNshtkq7Y7qx
qSHDiRuzaJ8Wq+D9hjWfK9vnhlhuH0UJ2uAsm6POcJZoq5cc7KOI7cqku5chbmqTRff1vjSeHGV4
kx5tOp3ZMXhmZ+GNqZ4SQFNBsbpzCBZyOJnu/DysXk5zq1XjWqivhWukbC3ltLel99RC68XIZyw3
epbDMOYsuvMMYRyFJR8cWzAdWarpUtEZN+gC4Prz2iWPrWaNPX36OmXeo0UAr1+0xY6dXoblqCfs
vcI9yKVUnygfi13ufd8wX9K/Ix2qVL0n6sgvab7cctAgngpK1mPO6HVlnnMp8RHEErPjjaloH07i
0GgSoQqjD/q42Hnd1uxn+CpHw112vDHBxkiWhKPl8269HgO8CoGUKT6msT5Ao3tOusQM21J9wH/T
Hou0Ls59zcnW04pQ95pvtpvR36o592j5xGgrMYdDaViUFwmvD6Vxm/NWFEdOSelxdlSx0xXte6WJ
p7TMv4GU0Y54krV9ORfVvgZNG8LfLU/piHHUoFQ7q3YJo6V05z2BclMEycS7XQ39w6in6rFU9eXQ
Kt0KO1SIe8PtJt9tMhyHGf5dDu/9fbrpVy6DfMsXXiPnOZ3DPHtiS58PFf78q9N33ZHWyGNht+lX
AYkEzGHDEleHIqDuOgDrRT6fKEU4WNPOaOpDNW9vtdTOQyrjDcez3xHRAJPjtpUsQFixZaxVxdsK
e4/7fVgME4b7dXmWvObWTo3ouu6AYz0uQxIuBaM/TNTJXZ7xlyZZn/puAJk3iAcmbQ/G0sdSzw7C
csNa10HXdEmkwagnNF2MJzMZw0Zmd9KDQJ7yqIvlUJZGxp/Kj7JaSN5StPehVg8WT8PE0tjNsrhB
dnVACfuIOKMKJrM+LkN6tIwyckzD37xSv1uKVvOZr0nfo0MZEtF6RFDrcZ7s7Jesb14tNBsZWb1v
3aLcWSUZadrwaHYZwKhNO8xMIqHCAGrfVvFKhP0lSxZfqceQV1QIQ+QZHiEWDAG63DYuhiaGSIMY
f5Besl7SpN23Y54EUBHNKK/x6+crsy5dycM5Xd4BSDtHXEvlcVIgx45j8orv3fAthQrKrmRoSyBk
QqZDVK3LW41RLlq25Ebn2GJNqhr1XcLewHNUeQ4T3Na7BfQJrLRzjqmbeadu0HJOeEbjfKEhZvkc
C3NiYMf5lri+U7dRxxFdVUQ1WkYYQYZ4Nft1vFscszgqRZ7fICQTdBKcgm4qarLKsHf0WfJDNih2
POrXSBQGi+LFhIj2bnYU7MNC34VF3lTfctvitE5dDRqQsYGxKpE69CJaKOUUUX7YNlDCGt0GAxlV
hou3pRP1FzPdWh2Y59F6yibTiSAP3RH4UUSNZ/D2pjQBBhU6A/YGSSc5pZuRT85j7qrlfnKWKTIH
+d0sSzoPDKnoWfgwnA/8ggHVYEtTXTYh+bQ9m4ZlHfW5ftBqe2KkocSZXF/MpDl2Tjn6UlXvbLmV
kQ41MKiT7qXK5B1yn2dGoaVvC+b/im0WYael/aHZepIDLPd7n0LTWxRV7qbCbp9kOzlH1yweiLc6
uIlnxLIzksBYNEyW5nYPsFZEdT+1aC230K7Winm89jaNqGLmThSA9Ji0mWp5b/GLOk5p+3VuUbim
zm5lMOq7NGhhig1BXREKtrjJpazTB6ehaTFgfMrGDMyLue2nDHJwgtmwldbXwdW+ymmpgp6ZYjQJ
3I99Mb6krfzuqVA7Eo9Rim1Fk5nmrGPjLpOziNtqYBRUqd/tMq/3iu1COHGYzzll5lA66NHkbh0J
ANUJqGuYytk+tE7xprQMI8pKp1QcL7CojZ2ZdVq8Dd2Dm2gcua2H0Xb623RxlrBPFvvct+TfJSPt
7anmrcz2aRxdAMYOIrKQGXR2HKfcjDeta/deSdnO+JxmOm6vs4OmO+hT90XziuHSiNKCB56f8F3I
yGnSvZYst4XJMlSvL5qEA0ZflBEy8IjJJbj00ujpADHBLfXidlYBVLSDCizPWZtgzvMylgzswUFR
KJSunvHUrfmhcmlaqzbpBArHAuLLp7NVmY/TNtnRYs33RD3QZ3TUl2EoVLhVwuQfbXbIJ/2bQcCo
1dY3RA7XEeLw6kZNzYoC1IP1RTQ1FbnB6aZWnIYuLge7nLZwQd/TeJkMsVQIaFLcsj82XSQdFCGm
9z4Q3HY6GK10ytOybDY6+m6ojBtmslofaNZU9ofBVTTt3Ik+g7wKyIxJVJ8qShFbA3TLkD56/60Q
WUWffhy2LxmtuuV+oJUEy51m5LzjD0FCj5w/26hy7TW74/2e9Le90q5/bPAZ+4hRu6BfXxOev69r
qy9jXOhTqvsLo5I2qNOuVcPC6hXtjPqDgtBeneytE3NqXEa8mOJBZyhGNc26L/PzYsH/fJj6xKNw
TXXCMyUapebYpJknY49xN817y5N2IIxuUomSgUH5qJZbWyon1LPbepkXGFGgLVtaWuiRhzEE18xp
AbripOUL5JV5MV+bbt7Uo4df98prXExtjKh7bPc2RzzBOp5rxfY1IOPhrBU57sLa9e5QU7gXwgnf
l866c3tgl+Y02UQdNfluLIf5AT87WpBCdPshSZKC5STTr3UxizulVKbS75tx04Ez8i4N1EZzDwg9
SJ11rKc6LV/T3ontIqMBriWBXsspTkvjzp3rDyORoYICBwzf2pv3DM7bIwA24QbshnJ7MXPpun9M
fa9frz/ZJ68Znmcx2mwwWaykyffMBMVVV87OK3oiaKmB++q8WrkWQi4dIbu1OaOQbGMIk9N1dPSY
4UV1GCb+sCnG7YBzqgr7zkP244zLS7dZe9Ev7SkZdQ5vlL2nuV5hJHiLfkKXmYXO9SY1QNdpffc7
UAbtYVi8dTcb4r1R3AvESjiVeXckfYgRaUmaZFBv3cJjaWWRkrKPkvfYB2rGEzKPjvacDA778aLb
qCNV6AGiWZEyFMlBmXrzy0qyJjPQ7YsYy4+WoiMcl353NUbvHdEVQTp6QII3q/jSCO8DTWJxkK28
tE5f7tppfgL4vJwmOl/3XedWkTU7fVzk6tdmbLIgzwbeMoZCP7rfRBoXHNAaP5uK9pvjcqD1SBE3
F+bkSzagdM2WqEG7xqEKtygBakeGdsYeLIIMvVUXkanN665KK5sqwXklFZaTMgEY96mW2Gi+Id7b
ukdEuJYA7IFLc+M6/YPZuOLJuYa/FXKz79H0efu5S52Q4Ur3PZlBmMy5l0ZeZy3MZgZtP0xovAiG
4CxRMKnNej2F5cqQgvcsgLm+aw487fRdXfeUI6b56Bgc0Nzf4C/P83brIhINmtKz/MRSkH8n5Rvm
6zoccl5trV48lsW0BLW7uBFj2McNrN8N0ErGul5HNejI0QutulheWtOoKWbQSB0ZeMsVpQX3HuV1
u4JNdL3tG/Iw/b3yKqu9Hz0Oh4QVTlqMYW9BLbC2xRADhlaPVlGL9w16MXqTiS96NsnWbQOlMr8Q
FZEzYWzFM8o264ToUeLbYMApt/64XbcsfxyS8sZ0RcM4rDlXyAXB19JzAW88wKGguNEGZdtTcxQv
RSkyNE/ZfNSHZDmygVFYu0l1pa+zDqIm6ecs6KVG1TU0s1CPRA/x9BmjXNwPDn3NEEzS8iIXUtcZ
QHTYmt18XOC0PUAbH46urPVwyRT7zquXNWYmUVxGovUfMtF81/tUv+EhboKyrpT7tqzvCXMSh75X
zEfGIjtaxz+IFHCBhBRne7LYCjfTvBdSkxMc5kQJNzstEjRA2TaeXDv9alTtM5NHGZI6GslOVQ5F
whFZz/OHpWSQZ670pngP713wfj+aDo1B6znBsLa7Qm/aYOm2+cAOEVsWoh6gX25U48UhQbsqzVCz
Eo03s13eIHl/nDxme2ql7Zh8CV8355MwR/2gE9QZJATCBFM+x5tbcu/necjv8F6DtvQa5pEjUR/d
WqehhUDgWRfQc1Mb0woHw2EM2qJXA8LoxoOWlYQsZHr/vBXli+HqvLxl98EBaHxAgofKoZ0fM7bd
Dd3VsvxA1v1EgyiPJfMWJvUPaa1mQdJ7DvX3/EQJWpCEyj7RyXKOSym+bF7t0Z6t5mMyqPw02shM
fLbx+Hr+3M8kJPvrAuHqnFqW5TNAd54Nwl1uqtmqYoQM+W7x9IjA8Y/Vq7fo2srn2vS33GKjDy5t
AhxJ6xnPTtY1ZqxryrtUXTuiT+Qe9CVXL65cTZ46VliioVOZexdpGonIgIgte2+gDiCXCchqoG2l
dtna8WtpdfONhIW3q4phjSqZmieGkcPFWDrTn9Tmo2E9hkLm5anrka36dZP+sLMcpVAXzeMS09E/
rzpPmtc9zlOLnI2hxb7uprOjOKHmTdm+NhB0GOOmUYw3OZA7NWep66SHOB7SDLuNOwYNA8ofRu9H
T2p7yUhOX8cqrAcZTD2KiKHQHr10vDi1ONekM9IZa6dY1CkCW7O3yrAyHRmlmyfORdEryHeKDDy1
noV90zFNTWcttLOkhf3rJvuhN6/BGkrM90X4lXvrS62NbVA5Ge187lI55Cmy3qL25VI8KAMcTqjj
zLc84XvWkvjjjKVr1qy7tp7KU9VYzLSYmOdJPZyUcm5ixKCAWpH6ZBoledvSqDRKdUL84L5VmQpR
dlG+G9r6CN5JD0ba71HZT+d5LpRYmawry3njeGi55o9r8/kwb84PrRhNN9DsaYxKSgUfTvd2aLhZ
N0kjQSv9H7fEv2XoPwms/6N0//9NEG+hIP9/C+IBr7T1+8+K+Ov/49+KeNv+F/kfV8k56WDuNVvt
P4p4V/sXOBL9mnBJ5vk1S+M/injN+heQIYMRFfEXqomF6X8F8ea/iL3hj4iquOb68Pj+E0G89bNz
iW2EbEMXixYUG4oFDHU/O1GsSe9XD3p5zFlmPNcv7cN4tl7TB45acbKD3hxAAr7QzV3O/QFs7GEL
RSwv3df+oeeF+Uf51Ol+HRynaA5pUuFFDx/PIqB+2WGjxiM+HLDHhliIfJVz9BZv/hqXH3+55f9e
hX+V9f8ZmfG/ov7/+y1MUhqv34JAxp+/BbN1m82Zb1G9yggK9gE6AP1X1dfvdBksL3Zc4MzNDvXJ
fPjNpX82Kf370sRWmbDgbAwF/FR/NUoN7AypRhsjJromXt4KI6he3Zv6xdV25QlB5WFz2TTCrbk0
v/Fo/ZcrQ2TguhhKCXdSP7nXc5e2iSuHOoYqEjdueZ4XZ6dly6WatN98y18uZWPKcGnwXJGWrMpP
9xftlMGYwMpjx8VPnsGVr6JULfYIfKO/v5/X2/XTL/npStdP8hfPkj2rUOp7rjQZNIIeq+X57//7
n8IU+L0IX7kGYHs8eNdc208XcGWRQwzjVGm2zDa/rKRV6vHYsHq+uOU1PRI1aWvFlkL80R81Bwn7
0R4sTxzKoRqWF1HNne34ztauw0nU8AWRFkuSu0wkEtML5F7DiEyOm/8Mrfjn52YHIYmJ3cBT7c+B
hlixFcEUv4jz6Xmt7wiF9BvxG0bCrzef54fwOrLBPQxjn6PYqsXI62ngGnLiqbGOFhbs39z+637y
8+/LQuJRQeGKIuwXV7J0RgzXW5LHiTV+QDiLDKZNJRmxczJRTJp+uWq0nkDVNb9Zw1e/869XJpH8
emWqt08PqtrbTgpjI4/tm/RhvUnuxmN+t+zmL7/5hr8+K9dviHmSbd3Vcfj9vIItqhRo814eG/5X
GqxnTESkxEzk0njRtkufvF1PwspvLqr/ty9H6PrVW05t8xni23hOMjRehbF3Vx3ai7Uf90m8HYuL
vVcO2m880X+Gf3y+lR4KFYMAVKgwn6PJFaXkEO4YeTwH9s48KrftpT+YweL/GKM5nqIp2oIlgokZ
9AQTVL/5ssb1Dv56eQxmJGDjcP8Mn3KS0sHJrOdxdrCPHV92OaEbPbjhuJ/2SlTeOA/WA80z2Qac
AQLFDYofxQ/lg87Hxb44B++QhghKTs7ht4kw143wbz7a59fpLFJ13rA2x1jL0GqnrO9hP2o7xk2i
8qfepwJMGp92W/3oFNSsv7s3/+35ghyoMxy3GYBfbXZ/3T+dpl0KI5nzmL7f3oiBu8e4WoJ570bl
RXlVXvPTeJsIWty+eZfcckg4AZYJ53P71N71R3NPh/k3z/yvu8rV9Me2RcAWWd6ffy40CIJOvMxi
kkKa7IZov/6h0Jxi+U0m4K/X4R2oUWyRd8DOon56SbVKlWS6XbJDtnKpwrXSCT9hv8v/ma/8uhWz
ERH+h6FdwyD92YE9D3pXz3PHha76mVq6wcSzEsht+12A4y97CYBQDNh4XeEagF75FD5A6AJzRMEQ
JO2UHZ6lSPeOKIgDEiV/szvqvyyc66Wu2Gr+B+/3nw/dX168mVYPyThIJbJ8/BiX8VZ5Hx+tU39b
Huk43JZ3TdTdbs/M/Jqv6vtvk2R++fE4kOPWxB4H+FKnpvl53QpqU0WfKyUaY3oSh+TIICf0KJ/0
WFzqUAQff79jfr4eIWVoQInow+V9jTj9VPdqdr5t6/U5abD89flV+hz+/RU+/3ZcgTBlw6L5QNA7
MsqfvxFzWJ3x5JrHa0BW0121b/+RiZxVSFgigaaEh6PGxRf56ZalSBE7Z4VlkC4VejxrY2o2zuIf
FmTEvlJj4sClVGJLca+b8V/WhUKrlUExOqBV2dLYQGt/QhQ1/sPvAmKPX55zCK9Ok3PN1bX7l6sU
ijGzOEsCBTpF3BBcmNBNqdrd3/8kn390Xoyqylvr6kxmhX/m0HnVPEzj2taRx6DWJ5qYMC23T37z
w/+3qwBNpsV5jZ8mvfDn7yJImoCvymBmSRwF2frA8x3oI1iM32z2n18216/jUvqTUkAGCj/Tzxca
Z89LE72vo2ZqHV/TuybYgKxAWgW3+vd3jnCaz1eziVzlQaEwvCaeEyT489WccsqHiqxzBiFpdQHY
7OjZLSLBcXVhd9Ywr3wM104dIIxkPVplujHutpRauUqR5qdqS0tsNXWvqjFGsQ1fEB6/Cfutka6B
cGb7j3EVxi0lqoYvpRrVXToN2ruBVzlj8pYiULIN0WIiJv0pXN1MxCR8bnhETGtKfbPjKOtDWkKd
PUrkOxD/DMmkfp2sJ7sH3eMXvavt0xo1J4NsgnfBBUtriWy50sYpRzkgvKFBv52c2lD1sMnILAn1
CsfES8EA1g7q0vCWR8NON83zMy2TY1BgyyugstFlDKy6XiQfpJzugatrKMJQmt5VCPWXnbaZ3u1G
JPaTW6L98gVEpdrPFpOPuEx99a2TaU8fzq36OSiTZHiwyRC/6RJ1ZJTv1KYTTMLRJgb81aDtuJnk
YOR2ldxKiTSLNpDWiLDCMMSYAjScRPsspg8jFYaDP2R2LraQUxNNs4mqgy6bjYSpgLW2FZtaxxZN
KCx129ReGj6UCDzOgV+SDukG9/HqvMWr1+XQTEYxYyDq64G/bWOE0UYrZ/908rkJp2Iuz+22McsS
7twE2TpuHW1YAznbaOoKmtO6awQte3GV5W1pyqBIqgKHnbAbzbe9WXztDEwu+l5bHbLSUrVy/mB8
M4gABA4tBMkMQA2IFm5HyLjFNgf4z4nnKenppezmSnJXbmMyRpmDqpgxqzN5abHrZ9F9K5DRwyXS
CGuJHMVb8QPo5Nz52rYuN97QuteevTcy/EfhkIYSi5ETDWbhKaHXT8tbVmKeZLanVhiY0Ds+Om7R
lgiRZLtEGX07mt+qwiBWNDNKsyJHE45Rt+6fCZ/Or21raWzniekkkYEAhfK9Yy+Jy2SIsXqUNaxA
H0e/iC0Nddxa44HzsWTbpl+ZjUS46jVpx9O0GV8crWleNDLYP3QyL745reqIsB1lbQSj1XKmcth7
EDzlNEVVj9FabxuFFhX87W+1XRd9oJDV8F3mnoMeg6H/H6wtBvFbk5iav7UeOum6HK8TJ31QsQ4s
VuYcxsZ0K1DzhmJhPaggbEqW0xquREBxv2bIep7VLixvT8BxC1CSuc+dzozF78brEKoTpdrsr+LW
keY6u5uvrpgww0wnKEAgP7+qkSZVBiBD++0Gt4y4LSw+qa/OY7XsUmXps8OSclT2G04o34cCNUik
dpXyqBojKv0hy1Ul1FvHQqgCNKnyvS1jGNEhqZuC0QPgusvhdIogadeSMKKVGW5UFK76VuqtrnNf
FudZn/PpTViFQLypmGqkKHU5MXs2ql2jVPLiOlfx3sCtP1u1VRAXY43js0Q8+kDwwqRxH21P+l2t
4rgi6348DQox577D++KHvshuDmZncC4F9gU1NBSPLnaqdMvymC1SIT6AOZ2VHbpMd3NUeXnxR0nZ
q0Y6uMIkZL3x1up0b1pDDYb3VdViMTNsl7RGlJEn8JtX9BBFyHyQsWVSI3Ma9eXRajTlXh+muQ6n
fFQQX7SK9QNPlekdcBBm/dXkjvoxTYd8DCfKjiaq0OwsIQPpgXTEvsZYwxtOu+gDJmIsWl4z+Usz
zEjVjA7dcTYuzDVBaTYWqo6ela4kOCLjtO27LXJbGvI7OmZMxAGsJVYwYJwkrjVLKD3NDK31wcmS
ZDekotTCUc8rbBOZl3/tiewvI89UtvqSoux+rHiiiFqaOzyI7tzLOSgmRKkA4hBKBu4kNHalbVhS
kqfa4VsqpWlFC6554yRXBH4YvxjGBRg53R/zlXCHGnboZVgUnV0EeMAJP7KMrk9jTDXbF28QnhYo
qwcT0ymFOFe90LVA1m7Fld2KkTIkrWS+wXWal1G3aCIjncDVpsBk8K6EkkjNBOW+lw98dd18RWGs
WwGWr/yPrlDAvPOkY2lHYZ8S6tFMCIdxH7G1z5hnkSumLjqvdVKHH2LtFty3eK8V31qJN6iyAkHG
nJg8kUReYwIqqG4/JDI0O+AsM/VBZs7o6HAvM2TSMWT1WBElKNXSbKyrjwhJls9wViGfZMA4FdB9
xoU61F77ZjvFaOCv1JYJOeBVDwahifCDqdKdExvKxMIQ9Wjy791S68qUt4Q3vaXSWNoIJxMqmAzN
nAyZCOExH9o+f23Hko0nQZvzkYAXaHit1UI7ZovtbgEqDdXZa46tFwGHAvO+pSH1tHnTVYDLAfCj
8Bp5Iim5LH2lYEWhMDUUnTdBPd8yoUamKQh5+dhEuYndzOG0C4pk9aYQYWSS+Ust8yfEHh0W5x5r
bugaw1z6xpya32qrcX6s+HMXLp1JxpUiXQykHj0FhJPhDwVrzb+epdW+e85GFINQr2XJoK0qefCM
fdi9bLGytOpB06Kq5dHF3U5ECiGK9qS8oTzYSG4ctNKIMzQHX5XWkR1z0xofICuueB3Nnp0XKiA1
h7n0xddpadl/um6jsuKbiB+TLQQ3Y0ajtx8rs12CDnEsckvVUv+wJ30A9jObePoGmqDk0qvb+NbX
EHJDRRlq7A2mLl8qfcMxXWPlNhmOav1jwYtWi2y1mB6TRXrksJsmXkl7Y59zaIR8M/Pk+nA4A+As
ZuT5+lGoCzLaQVEFtkiPpC5xwau+uCiryKuMJX2abz0+gi34H/bOZDluJduyv1I/gDQ07miGFYhg
T7GXSE1gEkWi7xwOwIGvfwtx36uSeK9JdsdVk5xkpsBA4+7nnLX39vikzkdVoKRkYZVfGPLmI+ov
nV33ul6iOFDRer8EaVMBbTn+j0ZnSECwOFGxLLVqYl3I5L6tDEhDkczBI7TgAsXthflJ7pTYwYgh
b9yzNVG4vCBGptd71UfZ+HXquSF3zWgH7ysdgewweD6z8mrW9XiKsYrjAEjPHnYBrBXeoZ09XC3x
2WH3VrZE15BJRtw2bYWnCOHLeupZqXwuR005bLdDlp20yodUH2HxyNBJSfPaiSEwtxWalG3iLvpX
wp1Wve8s01V7aTz3HWAURY1RgI8Hf04kTqlFMV2Njiwi1Ao1/de5kixxPQnAlyh2w0te9infO34B
HDmt6KBOZqx2ooOsvOI9CTvlgyM2yaHNkWBDM3MYsqeEQ8ziLPVn3wtH5zZfCqtMzzBKUf277nNr
eaKL7S1FzMHIvhgj5GzM4ftwOMm9Tpb3q6eneb9y+J9PLddfx7O+NRhLUOd0PnAr6NX11Nhh9wnt
RlIiBRgROQyZdufT0p8nb4dmdn7OiFwRBwgyxge6VZA2vQo9WKqSLzAGOLE5L8zIC+MyL4P8LrQU
Z8fNmWCTcjoLWqs6ARVxvTR7pZUbvkGpsTOlps2cU6uvS/FZB02Cg1Ig7BfBn5tCQzWrfe311HsX
tO9zMcRLlFZEGriDyxuwybPMVZ6UJiJpmU37aqWxxMG8KuopOqA3s4S/LxxZOnDeGK9Eh9LPl++T
awBLVz2uX7VKxaYE9brTkkIHsCsve+uaGbEM8XOYExWzgEsn3bUOuz3il1AjZC5za8xPCeFM86sO
Y4b53BpYRiBu8I98YIe1aF5Va5WeQnvW6Q0ekt58ZomVNZuTPkYKapQ+7ITJp/kiyDYCvEyBLC7E
wBz+NECMxxIkkqhibU2iRx2ir3vGP2d5trZQjdNkboL1wjSW/RotRY7xaWHP85mfAHDGQyXVBBmH
pkCeFmtq5+c9oxtycok2bg+DNotzR9drCj7hTdtjXwGhbGJbK2HB30xptQcndcR9gb1+izoqqQN8
+2oxvLlp2cANKk47F02CFOyicFYn38Oqj+JGlKZ2T/uCoOiHXgbqk5GVCe8spxsBtAZLluDNJTZT
5yHnRP8lt3k2+3XGhmuXcCTV14M9shD33ujZezWbERUhaG2JBGDW7oHuAJmapd/0/knlNiK9VWTk
obbhxZ4PFcZP4S4awcdRszTAkcXqWgR/jy3qBx8VLV+UN7Rglr6jBu6sKROqv66B2C6WZTpobhVo
jD160c4tm44M+FDABslQ5+GFrXAlif3aajEVgLF+wA96vUe6H96aEdOR0xr88FXWwTpeyImGyF1b
ePOXPgVFOGWRiHBFilRb7Zah1s71aLeTfegDs7IRSp3OL+68iPSsnNx2PjT12Ke7FPLZuddl3nyt
WzcH9IEofndyVNsXYqVs+gSrCl0e8HyxPcP+Ct25UqlzMwGyredTrdCy8H0PZcA+Kw0KRoRW3Cyt
ZYNTQjOG7X7mpIatlZNW706VW+1F3yUYR20hxN182a5WbqEfF6ihM3ti900XeiSffE9pqAdr4O3T
bZamB2cOM3mDC52TXgJowGpXcGRhLEYUEyG9c4x8dr2NjHvaEec0Jheei1YBHsxmx6y6ZPouEp+z
Se6FnxNryb09gvzpyR5kMD1YRduACC6z9dYlFNIna9QPr64VWpTizbJeVGFuladeOq4PbTd1fUz+
WfqmbQEAKqy68n7UQzsln9Vc1M9Ln2U5kZR5dx3lq5tiNVbS1C8hecZY0FX4ES7aFOe13eTv7rD2
VtxknWyf3RYTsb0M06C5bGtlvUC1FNG56VtSQ+Xa1RMlSj76l81oQNulM5ZPosGhKy5R4qpbGkLZ
UyWrtL1wyqAqz5taFxaw0RR+6Zu1/zJ1eGPiVFTgjqOl3SN1DgVY/wR0hxDbFgbMZ5o5j/pIdQCc
WbLqGz35bL2u6mYnhi6nuFiMa66qmvWElK8K56uKTYffNpRTwNm/dZ6yjczEyiUv0aSkHAEyDOD0
tcDbq0HloZv81o5U417AjOvharKoURCE+H2UXnWWaL9j1ofbiqs7sOcaZeyAbKCDbdFusDYnLQYi
dzVlBMxo0C7eicD4U8b0xOsinoCArUPfz2FPJ2ha2GjaXrjXJd6azmWeUsO+cmwrozMEVmEaq6mb
9BWK9+Z2rBBUxlh4+BR4qz+KcjcuqnkdVEoSk++SKVloE/acSVznnXYMwlN2RI3dNegvzvfwAPZ+
HcmzP3jsvpqVAPP6XafxnIvr3jPZdduPaKozL+mtM81JNMMkkGMMKY/zVOzDILFx46UgvV3cVq1X
BO/ZSu4mC2uylwCt8eOC1UJxNqUWNdfCp4pabJH2cBGkmoxNktQIzarcxUeATLmAAKhL+QaNi5Xd
PiBRq0UZIaOvgw43UNjiuLEzaD0+E0azvvjIJJ/nqcJlBtN4B7jcXvjArLSw5rMCrXMeg72u1e2C
WpkvwBvGPdCRaOlFZD5IVVmkUcxNR8aYWD5UJJbdk32eUlx5O6P78LWNUH3u0r5Or90c5dhuSBpn
gRR0dXG24Gd4mygr+JqsWXKPHD9JLgV4ndknzFZO18xCpCRA59S+9Mow3FHiDM2poqS/IMfV6IuB
+ODbfOrxmpJTs15kadRZ+8xHCIdXgKGK7rjXYldXA10+A7X5iKgQalOAIkIT+sPwNW0G+SCmYH1I
6nLlDyeFaIjdaHAM9eA8fetEZ1D/AqLvkZzY026q8+Hc6StRxSug1XxwkhbrwMCyX7yEZ3cYXInk
oZsMO/IUWPxD+TJp/wSTx3m6ClU1zDsDP6x2brg4t17Q9ECXRc82OSx99zD3bXin0qy+MQ2t/Z3S
dvkcLZ5teL9N09NRzgbQuCwJbjuvQLFlPOxxVB+guWkza/mBWy7a7Ib4r+tytCkCArnS6Qsa3/+U
V4mWp5NfZ3iZFCP0+1ADXMSRr9TtLCc2d9MDnw2YPr7naU2JFWZeah1aqGR3D/S4yWBLezMEDhlw
nCcK59WDzHRD2Z/RN6BKSmnYDN3m+kx5FYE7Lj1Of/zjrCxDI4I8pgclruQ44AyEQQwYuq2WTm2Z
WhixYDiWUV70aRGCpTYVxhZ+lMFnZPNXp/acLO6bNj0Ta+tnMeYn4qFN/ABxChQQsjLBww39uX8P
UotFj0DyhhwkN6EX4WqdvhWTGF6R+SPoqMcsf/e9dqF5TUjbk+4i89Jndn0T9ZXpTvD70DfGbTB3
Yn8a3hrlWS/TOPflvmxxqaeH7Uui6EPnSXabKQo8N0yncse1Y6e2RpYHf5b2DugzWy59kkmfNY1Y
G6K2si/yMukhHauEctxNkvC1nwXa4jzP10sfHrbcoSSPLioPBTuK3e0IpZt1EQc2bE4fqzdGzzTw
aOiG0VB99Qf0KJS0jYPth69ClKcl6GZcpap9HRZCy2IOY5iEQWz2C3o9OmC7wPd7h2e5TN0O9r/5
Xs1tdE4Y+lTEfshyHXuVqZIDrqXN3ZLbNdmGuuXsrCjA8/2UzhyqOe4cdYesqxdRO9UPbkBbYyx8
NvzezoJHrNvmx3F0wWhVWsjDyGGT8KOVyGpqZtzH6S9X048sC0E/+mDmNNim37LcpUXIqa94cOrE
PVReLy58laYnPRr3EY0wgyNstaIE54zEn78EHOkQxyJcvKnDMHrRNCbeu2QezlzX8sA/U43LgGvj
87CVnAc3O0l9H/GHF3XzDVC0eFyzqbqh/ZZcabk0EvlsNX11Ba2kk4Bd8mJFcvRD2nmFwjQXXntJ
kiWLzNoW66MKtX2ZNqFzbc12p2PLqtYfVhbyEdG5HZ7T1Ywv7TiH9Mwgnb9FJfFP1JgBQ5JcyOKK
Kr+CsqLxnO7QVs+gC9E6fMM4U/DREhz1jnDZ5l8rRvNkEB4BzDDxItJ5taPvQk98eHx3qosNS+S6
X7uh/SqsvFpjZ068CQ1lljksgHPw4I3Utuxq3XhdW9mK9KTiMLGzJ7wJOVyHGIqNuu3PKzM0nK0n
Vf8I7T74jM9rBCUwLfVjbg/NE47PDspwYephj7FfgKUnXkt4WyfE4+4bobFzLMo8AXhWA5kZXe61
u6xqoq8w3dhzWGFCm8NDmHWP9W33PeX81O1og2zdCwzt31ZPmadgidSznE3DlymyN9qXLHEJ09d2
P0VCXRX22rzWjHWbHcooFJfYknjnhTMVPfqFJn8qsmG0Y7t1g3uRFpTH+ZrgwIRdHF9jaoeVc4LT
HOpE5c+bUVeIrOTQ9Y7k8JtzRoixmhE/ltTVpAl1Uf1jpQvCtzoHCHDKrkjZzcOsKWKlMo9PKSmH
10D4xuXvm9rroCKhe+fS3QekL9cUMxqXqKIT5JhgOxaWlupQiKjhhFOyl1s+dlWH1XcnwksdTkWl
dpCKaFVHdwEV+tNqd/DXfETJd/wH8foPOQgjgKB1RdmGTzdi4Ua+CHc7lLGdjf5GSM9yNzN+HVwM
LjFA+dwaK9RxSNWGH2Qr8Dbsx+2b9QQtvoPjjMl6mJHW13szzjlRI7QX+M0Jcfb7iptIiBkObMuW
0eYi8a0TlNAGqyGCAycc8hCw2sl4ptfEHeJQUI5cs/rjCvb76aT7cTa58Z2E7NEBl5GPY+XHUThD
L+mQdHfogvBgytOikOdrfyOc4mIQTz6Jn7DiJ4z7D1gsY8eA+aAccBC8pE/3yXHRdopPHt1AxtM4
SYwncjrHbHenhDmvw+vV+lM84D+NiCMG657j0E0gGeHXWepUVXRALAbRmSv7J4sJ2KcKkcwfhrZ/
v4pnM/AWDpYbAZzWhwSQPtSTE434260op5+BSQKkZpZ18vub/5FzCGiYkbbLzfcldtofsZtiCISL
ZKU4SF2tj/aspmu6E8F5yAHzEJZy/peYz/F6VNrkjfDbPPlxDq3p23DOKg4drgf7Zik4ugLE/eGV
+sdfBW/J/xMkBtz61yc0Mu+FABIIiLUNUuZasPqSY6ugS3PWwcPuf38Xtzf0Z3CMOb7j8KPAunkx
iKf89XroDCsZlB5K921dM0J8smefAzyFA0W3ddNkVfqHn/jxo+GSZCrw60iH8YWwP/zEInfRJjPX
27dtnpy1Vk1/Ww9y79nNn7Ic/34p3sNjhgrAjS/8D0gETvyL75tR7i2cE2LRd4z9U3pdZqr+9OA+
vvQkCePsBKriuoTe8o78eiNZvPxF83P3VpLRjMsUhuKqdyiSfv/A/uk6Avqe15EPgADJX69TLV6b
Rgnh5eXseWcSmXLcInL8Axfz99fCIySI7BRWb3ii4MMn3C0Dc3E4oz2DB++eZT3g8Ga59UmZZeXX
Ed9e+uqjsf/wavz9x22B5pBLoeugD3A+vI1FFTr42dKjavy2O6FH45z3sstO/u0tBKGDJg/ANCBJ
P8b45AVbTYB/zT7DLvpC5gIwclb/dr04Am3bEkgwBeNV7wNaJE2ZuVVUiP0Es0M9j8KmKnDF/f1v
+bhecBXoQ9TaqD1QZrjer69DrimdRt15e+KCDAOTxDlBGYBljZfKfW3n/e3vr/cPTwihg0C3QXyI
G3wEfuXcy5nOJw5IlTOeKCua7oNNlPb7q/z99UN8stGAEbgZO+yH92BtgcHpcHr0cn33Jic05nSU
/fCYYJR2u5ZMoLIw5HD4+6v+fbXYyFVOtAEINQv8h3sZjSuh4FXmsRY66y5K6c5iyYoLxdQtf13q
/wuYfgroIA3qp/u/JYb8Eulx+6bGn/M8jv/z/5Evhf/xpUPQLzsTj4On8rN8yXOBeQnmCFmZAMb+
j3zJsv9jC0TryIV5Z4DE/e1QgFnoMdHDCf8DFGnDAkcbeckC828ETL9+BwDg0g5YzSk5Av5RDGV/
/e4ymaRWqgjj6G0abF0r11PfKZPrn+7I7V/78M8Co+1M8X935/++SrQJr1gX+Rw+fAd0RN2WuXZ6
ICju3qIr0UX5t8wE16LNIlyAp1vE6O+/v+av395f14SXkwHCG5C3j/ltcL9NozBN2WPCLQ+2lVj3
aTgmV3JYvxmGQdemgVb5/TV//fL+umboeTxtTqYOQpBf7+asy3RpB2CFzsq/OFGmGZoxSUULUP1h
7f+nO4oOhFQ11Bi8RNt6+hPwicQmD9IQb3bM0ObPbQOzgwy1wuhvcvAXTZwzD+LnBAbqT4luf/uN
XA/u1yWJj3A8jpC/XhlfKVq0wu0x5GKChIZaOw91K6WNfYyb/SkZ7G/vJ9+ORKbnkAVOTsjHQ5Zk
FpcOjlAHsvNk3OXDdFI7QfaHY8I/XoUrBXboYNv6ETnVOGBVVeGrA4Or5JoA0GxvZbgC/P7t+HgV
KdlpBHw2dpaoFj/mSaHz92gwJQokqFluIyZ+J5zE/qRl+fh8tquEfGucE4FQ0Tv9+nw6JxNDU+Ff
NMK57dramR9a2MsLSvHkD5v2P/yggMs4FC1bEfMxpR23Lg2f2pDPvkR+HGEotpvrKfjDdvYPVwHQ
jVwe8Cbz/JiApxZTjWGOyxNzFcxebIBPpMHpv384iElt1+aoA23+sQyr1NCWbkc00GyBpLBve5CV
RLr8u1eAhWHbmln2WdgdyMFfH84iC6SOqjBMXaLirEg645wm2sIm+PfX2T7/nxdcCiGED9visJFX
gM6/XoeHoKYxwjAssAdz2Ci6M5cZ7ksqQkwiQ+YdfzhPHQnzX64IRS+3agjtDPK38ONGUrfNOE2h
fciHghlHz3hnZAaPY4hdXAi/+5YKxPurzpzDksnh0hVVfoW30PKHX+7Y3vaG//yngNzzvrA7gnbb
gkL31x8/iGCdgqlGUpty4I9JI0M4ZE1rQGQLbhVduZedE2GLlxf4k8+liurPSVel4R2JD3heWtWc
vi22GKoLt+rNcN0bvDeepctad9uyl9YXtFQz5g1erVjex3mmI1/A2dxbpizyvUsLLI3rFiXmWbV5
zYAqzdMJnhTqiokz6K/xNovJyO3KRwoYUZ9l/hC4p3mqRywDlzzM9qQNuPoA9uUHextn9uHQT/nm
eTvPy48hwUQKR/hkhYNz+sEgFfbr/NJOe1Hek2MzLJdDmZpLGNw5wgZA11OcNhnDoOzoyeP8ZdDj
eqUOrwKxlHKfphYu1jmz5l0VNczuBmm3T3SBc4y27QEHwkYmI022Ir8smkUV+zIty8c5h+KFnUuX
q0R7doefAYl/u3DcPllMqwLM8CaGHPE6OgBNssqY7rSVrt2dNj4MJQRf8GUIMAzYuy7BTgfLNwgZ
Wyfzwp0Ug7wtReW3lB6WuBTsdBgwryOZXLbU4qS1BkxLm9TDiKCO+rQhu8OVeGAIq5X7xnExTnUH
E9zbeKXr3WC2f8U+OiVZ/O53a1VRtidCh04qlMXwWmiMiNAAZCOuzLZJv+JTHeEj1HlfrWwOsIAp
FhqMRpS0C4ujK5Nduvg2bMbquDV13fwCfWneV9GwM48ifR57fJ1y8skSTChpI4POpuMQ42LiP4P/
hnQNkwjrtQ7m6cpXUUTPgpn6Ddm03WuJU2Z2BtBnryfaVwtJF50f9Ae3KIaLVGGQudOBz8uYtLzW
O3zBhhNvaXMZT67E/AH3j0+q99XnAeAXb8TJT6ddQ4SqHZsiiU7pM/poLP9ysmKnkMT/TcgUJp3V
p1ZZkNaW5t2zVS/+F1q6m/lVOCGfbe8iOxnWa/wDCQQ96MBtTmlsMqHKMze655G5Ys/IzsoPJcei
GYsbE3328fGYwaOGCefX2bjFZQg9VZ2qwGdcXaqSPmuuQ6QYLs4ZeCGNQxPGcyoDyJZEbAbfIrd2
AsO/9Yopa+FcbyNqnbyU4YqdWWpmYiex9v2xulX32Gm4a2ZxmhI/jGZDXIboJ0KjRmkdms4J7nCy
WQvA3CCHwpzm5iGb2y0cJ0m6m7Z1NYdi7TBkcbOU3rTjZNNjwFwGp92wiB6ZqFUSn8ax/JSpWhD3
WQuvP6kqLDGu0eSIF2udgAgcbRz7MrIyU8SW8l3vgCtKQU+csQPNiSaT13DuzluQd2u4H0WAoJcO
TYUtdbAsEAxKW+DrbeXHuE5h2HfdF45jxWG+jjh0YkYyn7jtNvuBF4xgShr0ATqzMkZLufQug5L1
CngsiOjmZxaccYGTlgR5aKD4x8bS77MwsNILi0xxsBtJzkMG8nE1TQq3JEILaTe5M3E42AypFAOV
sJ8xG1O2uJYE3nxv2cqWXaNDqs1FGvk2iqn+7CkxpKdqdMXLQlgCbih2/nl1tPdSraYPTpOUxjNo
Lv3IPebD5oF8CeIJ4HmrcxvnJ5SfS8HZws7bqjnIJbUY4geBeCGkZ/k+L317H2b4idB0S3S/IzWC
Bk+arTKP+2GqxMFr3eSR3kPuXrUoFmAWshInM+6w/dpCehGqAy/BhsVXMWPVJ2VNdsngv1OgVTJu
1NRXxGEseJXWMg36c9oU3tmEKoLlokYAj3k/PigB9mQmXjrRvik85y/XkhYQlp3RFgcQrM+1gpBj
iuN23a60yFiIxzQHMCjEwtcYeLDj52E3iVPe5UDEGCmZb6s9YyRdudtgWC7jNFxCZC33YVOG71HT
d4KlmFMAnuj5au2p+LvvkjXgh1WUTKWZQPh3LqqBNJ7FZutJ1x5DHaAVdaDzhzNf3k7ZbeQcQ1BM
sCoy11rISYDD7DtW4Ram3mEe4aynRmAlq4gcdWgTp3zA2Ap1cFK4FpyNqtItWaDFfbRzRHlTTm4u
T7Xnt7heZ9VYHZIMUBKLPo/Ed5G2J4EO8oQ8tLx3b22kr3ee7Gb693b9qs3U3RabPecu6BYg0HVR
6tsM5IUX2lhYj7NZl2eDbkjHfcKQeAfy6/0gpS5Yzis8ihvA1rqbNvxzkSeL6LDew1+4GUla0ayX
iKoYywU6K26nqintmP6Mc2evHSkBzMit/gQpn0ZA1BbdfWuynpG3nUkRJ42p3jHBZXJXDa2AyA6t
5WoYAfhOXIq+O1dPZcUQOiKSPJv9RZ754PhkNRj8RI1yasxeLZ2TOdmQPcLQGc+DDPrjXQyADfsR
Qk5diYYpLSaPVUQI6yq9iHaYjded3zI6vRyoXO7Divkq6gR8fBxjQWoF2dLcONhHY/WGQdxd5ME1
xnhUe/51X3kBk+HVLpLYaGzTazg4zXPJkjvDFsf4SY/2tcIYROz6MhmeWHPwmmVjjz4VM0ev2A4m
/623YVGrTg1vvrdGmJJilb2cEig8PkxjhRQtQ7+FbhxLeqySFU5/AHaz9VWJesUgm6CXeBHjcJ94
OYRib0p5WI1iZwmz6pycYvapxndAq2pWuq+Lv2DL5huh4YcTLb74CEteVxtr17EShLZ0pet+bpeG
/I1V5dYNfpD+QHq4l70JjvBMOFP7u/BKEpVq/m3GcczNSctIhP3dGYRzi3ymf+NsJ9BApVI/WQkR
brsxsYdrN+1wOdVhmKz7ftIryhs8Y4lGT6xHC0DeOY/cubsaVbBW8Thn0/e1DmccOAHm2Wm8pTxP
ek3YlQk0Bz9yfYqd1uSScSZ2xvMmnQjrtt2kvKfAXFcEc514sCrjqzhJ1pZxocKwHf7CwkqfgGnZ
7LtuqpHheG4PdTZHxPmpDEIzH+hvgCIUvK9BEiKR3TRZMacsUjJRy5WPcLf8kSWOlt9rF9XWjpGy
c4vkYwXgXT3EEpmaVwGoU8A9uN7SwGTNw/Cke8Z2SlQLGZVWT061AMXvH8fjHBIilZmkdZxP8qiY
VYrj3JKBLTPMZLKqjINs1xh8PCIM+HUWZjYZHENe73HEiNaDOE5H1XFSKhu4RQKptwlqd5ymYthn
Pqde0KG42flJjxqBxBl4xTaamcWu21hWAwrcaGRWhJ5gAD3uluMMl7tvfbePk13LgKOM27i3Ok5+
zXEKjF/odBvUuPod5HFOPDVle6IW2KYDwD2TZNR7WXuCfyUTZu84baZuYvI8b0Po8DiP9kJHvfbH
KbWPlL3goLyg+yiOk2xLRUy1w23ATYzhSIjLNvZujxPw/jgNJ6OPyfhwnJL7x4m5MG7pnIjjJH1Z
h22qfpywl30f3HOeY+6ebCN4yPC8ByQavHNxnNG7qaFH3qxl86qGSV2RG8A8H8EX6RTSb7M3fxv4
T60anu0NAuCu1W993vVEexbJCh+2AQPrkKl7hjFQBMmRKMg3uKBtadpBVG3MATFv0SeqH0iEyMeE
YD8fCYXwSCu4R3IhIWTL2Rcb0AD5WD/awRZ+F23AQ4LG54dJAGOxlEj78+jIRpTIzSrSkRafZbOa
+R05a9O1e6QqRFYGD92RteisHu5CHhkMDyvTr44SM0LY0RBFIdSmZBucKvpeHTmOqJpcaocN7+D7
gvQorMa8g6Bw9C03FMQ/UiEe1RtL7JEWAYAsrrwjQwLHDk+ybGhJd6RM5rUYX1ZEzs9ER0GhrKu7
/EjNxqZkG6bSQHJd4mm4PCLJgGJhpOC2l1pbRYCqOA1/hBvy4h3pl0W441d0ZjAx7obHWENZ3aSL
9B7FBs9kR44GX4f+NjtSNmQSQNxo6tCzTMj6PUK8N8TWNLSYlqnWfCGpC24nb1Yx79SR5+mmwXsd
eROoRo7oD04X6Tdy2qwba8ODVMYhYKfHhgPtdCSIhg0mQs8JV0QE1fy4NGPwiIkyDEON4OY93GAk
42xc0rCkG6N05JWGI7u0HDmmxamxH2+spbkrhF0nh+BIPZkUp7W43mCopk+a7+WRkAr/oqWO5FRp
b0Je50hUlU0CXZVhuPsqj8yVe+SvCl/bKGzGlHOIHNTyLTnSWlaYRs/ekeEajzyXOrJd7AvQ88mG
fC1zwCECP21AsLCBCfM2PGw+kmJ9RXhcXGwAmeygA/fBhpXJI2FWdKGwd+ySkGcl4AnSuskBN/KP
dBoxms4To2b/Dt996LWCvwkbyQ1qQ4A9vEVQ8xwGiQK4YUeBf2Ohrm+yXi0v6wB0EhxJOZd4gffk
yM9NptGv3gbVjZMph115ZO3CI3cXbQge43loPDxtIfNArtkyN1xvdihrYrVBfO6R5wuDZfpKKGT2
ZbQFvF8KJEag7JEDBDWEGGlDpq0n/pEYTBDfXqFFpWvhc9zeZHkbX8hUHtZQH7nD8MggZrnkjBA1
Pi0LpVvRHXw29wUNRw2kWrUtVqVQM4Hau+T2kquMHdQDfc4C6aZjsT3PxqGI83owKvLOBsmHzMtQ
nqkQX8GTwBB4/7m0kEtijlkTdJfOZaCpMMLgLaDCucML2rxZVlcQ/SMNKSRV6azEwjQpiJNbIa4C
lgJcQb2FK3gsyXP9mvR28A2JcI9Kyx/RnQxuWJBWwcHfi1Pg8OrQehkyxJEKhj8r0FW994o+Xbqr
PBq8a7/ukieBQqrxHrWDhsx9Ahm2cSMcp0ht3vMmzMLHFeG2uqMHwaQNa1hdHAL+2y8BWRPnWQmM
T69S9d8Z0BpnH7n2kF5hAcCGGBJbLeO8wgXCbufO4Dm6KSmnJaS12aE7NRcwcT6Jh74mwhGnZTyv
yZ4pXhH0VVVc1H6IYetakECH9T//GU1EQ8E6GvsaV9X+s2VvCKrbLe1nsvrEQzHUzG61v32otkny
Lwx1VURfsF2uJoa57y7uIT900WyI1VJRA4nQDBjID5T6oOtFhct5IDHYrZy5mMhi6UfMRfxyvtVe
dqstB7dQZIPqlrm+j6J7HKPstGYw/owcV6IFMQH8RQUk0cQp242kjl8ycQCgROYLq18152lQ+f2z
U5BqchWtjdxgI4zjD+BxyIYIeuVJwfpVDa747K8ra4cgm4dk5yGYgS8r3yo8akJiMa7qogG426+I
K8Pzyc4mhZ4/rBNxGo6ZMSQNoA1zd+ilw/cG35ssblsPRXxfZCH2x3OkHk2eje2noiGJZI+EpqKr
aVvpoC8SMjXGR5XNhvR24xngrrWkA7jrIi3GuwZT/eSyM0Gmr0irmoBs0OCP8lNUrbyUO3QRfkLo
LmC09VnpYB3uPI3g/Ws4+H71Ke1mPSUns5t4AZ7tWOnsiV7B/rMLZIfK0TRlGkI7Nlm0KBROzZrf
dSDq9ikJ5UGExy8gLvj/EkXMocgGRxFKoGxn9/WV062TgmH1UWdOe7dHsr+gY8CGGZ3oQEMLAH9c
AlB//CXG9RUwLkrtE0ZNiptlZ/NA0IFA+EIB7ZloM6mwVHYSVYHd7gK7qt4s6G/EbOmAGYEzzpZ8
zdxCrKfL2EKzmZaUFLYEIjhicIWAipsfsGXD5X2+bLYELaXBE2tggebSIh5Vl9h4j9mEE1bHAupw
v0sJRzlPeUCzk2CEHTOItn6rJ8wQBphampSXThNE1aWNDFYT7pjif3FWDNyD1xydvRc39pRjLmFY
W/orE6b9/CinVpJvl7T0/W/HBm6ARplbySRuHSf1nF3YFhZ2SLMlmvyBzWooP+ucdTUugfmzPSLg
vnharMhtTxOvD/vLUkmJj2+Bzmvn+AY1kydIsrs07bIaisgR50EiWxN6/7C6YJWAvS655d5+5AwH
hNv32gnOvNa3vPOS0YqLPUZUu891opJ7Rjyt5x7MgGN9fpriO1ya88UZyOM6IEMxaXiajw4+FkhL
89SjV4zH/pjQQ6ZKCqrYswdtow6c/c1t33Rdpa6w1/ZgmydLojImyzkjzfLgBzVT6L/GpP9vUgON
zpu3Rv+MABwtAH8a2PyNGXjYZvn/63/XNINev/3D//O/8QFP/CcQ2DlFDmZFGPyIX/GBjS8C18Lh
wPUEU7OmVRsh4Lj/2exsooiZ2WZrudn0/A88IOV/sNyCIOOgwuSE8eC/gQc++IbCDTCAZmpGs4zx
7DaG/nXSQn8aSKwo/f9i7rx240iyNPwqg72PRnoD7O5F2aQX5ZrqmwQpUWkjvYt8+v2SVdMt1Yis
nQYWWOhCoESy0kScOOY3AWSKbIa529YJf9UCC/QPY1Ehob6WAs5Udvw3uH2kC/s4QQcSBRitRJ4a
M4CixU6tnIDQ0IvEDc5diyXoN8gDxHbdbWYX5P8Iw5uNkG/TocE+5szoXj/BC0A4WqAWOvfhkhXz
5+d7yVQnM4Bu6aWiDRzS1JlsLgCLZS6xiDK3pS+rnMa405APSL83fhFCYWY2PbzXCs7DdjvnMARo
FRmD51zO42jXT1Brtc67iPHpxWl6DqPpk+/JFC/LH5bPLwAWxsnAjzdqLLqMtmm63iITdDJ+q/O4
oopV+SV5EI6B6xkOixXgu+bYHOBx2rlICVrejLjPiIGsYd04aRfzrjrXLdLvtt9yzVbWYKBnQDDk
ux177o07WCj8RwMnIURDuijT70aFDvKNXvK9d30Bhd0Ci+g7haA08dAKWEGGBU1lqH6xP8piExA7
DDYNDpxe8FQ/vX3nL1i6H6Z93DmqV7w05M9A0vAUfn5vqaGGGtfQ+BL5mNh58OOZGewG9L5RP9Fd
Fc5lUsC6CWrI0dzvFKPKDp9suS0dFroVHO46TdyB661yGMc7J89CbujtK2X7cSknl2qxK12sem3r
Xy+V2YfCtGLyEY03zfppHOKSpZ4OnVgOiQJVn2LTGnqpecft0qHfj3k0dPxKxHuESnrxwab04Kd6
nb2xoZDrCx056yG0q701lQjUbzqFY1X1zcWELjICmqAeWwhV8tYcLtUEwB0/xCZu2HNjpjK2o4Uv
e+uvNckp2V6iKgLjAtIVBl3unaJTmdJ6hzEKHSnt5ZjVNEk4VPWdPni151PI5lojd4o0B3MSTNLq
Qb0DxArUF15FKzC6k0zD5VcQwEbRBEQMcLN7lH5Iumlm2e7kX6Eo14YYk4R+291VI/7h4foQR3Cx
LqS4Ef2oac3OaYqhhuc6xZ7dXiNpkfiY56LbRrrkQn2un9AQWB4TjUJCTA5DjxvFHXAgImWV31hr
ejGmngWJMSkaXO00qDTcZViAjAZbecKTcwvxWHBLoZ2LztwTBBagbS9mulUXNv59nrzJBnuU49ZX
BAVcniMmStptwaSgGLdJaFaR9eRhvVki+iYdq37SegV+f1u1I6++G7PlC/psA6JJpky6EO+pEIck
3enRUremWL7LJEkWuZ6ItQgPDzpAWo+5I77F9M9VrsfQ7alpcI3ZDT4y68a3ukXFIdkviiU54jIT
E3gEu8a8FR/QnTJTmuS+dFkNkfDtpvk8C/rXPVZgpTMM1xGwFJ6VpYfLgmHC10Xqyu40H8z74R4y
o9Gxsu11JG+M7102zHl63UmvtqANjPh75XeD1ck4hQ0Ru4PHWJplZrWQ+vM2zuVD2MEqlfe+0SKy
fIuBuleVNwM4pgxlKscfNG3f2JGu91slug52mk3Iwh6v8IjO3i5l4Mzah+rUsJZjNM8S+mbCrKr7
nhGYbX9HeqXqi3vYHglv37TkxBawMi3jKzr2cYNMTA/SRF9TrjC7wROBNJURXN7jSY65u7LoWkDq
sbIbyM/LoWaM9rJlrJErZzBYwED06TuDBsgx4LSKur7zEcEp2w2p1QxQGomGOQvXUP8YIj9boH8L
dZuYztwg++NQFVWXRt/adfxAn9rWswu7HNnmz34/oB+zRQgMN9MdeOEpSbBYabVEfsfPsDPqb8zr
9LJ856WZbVnXVeZjz44nhqhkEsy2lvNw7DlpqmpdSKAO/bpCqoasFop9GTbNbc8Upm0+jwTMGmaZ
qUJlXTaOb8KFhD/PaKZalUNN3xS3n4pZGcQKZ7ZF8Y0WDKH8HhagX/urwU/0Nt7WzENN84vV6wPc
ECSNks7F2azmwy87jKtgKSNQpWN584BLq2OKCaUTqQtxA6JXq8YPTG4TfdrVpdnjcTLGZYUeHk37
rGizm6kB5FRsZ7SJ6IJT5PFOUFmJllNLUDJXyE8I4eWfIej2gAoKdBhnjMlSSCFPiTMAftxVdtfo
6gujHBtxDwhaQPFuWLZCGy88bG1n404sDUB1gT+RYku2lduHC3QWn0QRZG2GGMyt0DtnQHmHYq1x
9k5bWcW0ofllD2qHZJtyMInj0JcQHm0IiOZdbUHnT3deSq+Z6R3jqaH9o++8yLBp28l8Nt6Nxixd
LBNCXMqNS7emVLiV8G/c8lIJN5uq91PjuaxeCXefTcqMN4X/mqnJHEjrDxEtaZh3YxREtx8s6ZoW
jc9SpU5YNjnO1ehEBVwREQuu17wkNDNZEH+VUi3/V3ND+JAzgTSW78koN5al7qGEhMKZMfYOnoOH
362ooZf41SD9EG2tMRunZjuA+emqHQUoTdCN1dDdS5k0DS0XXOLoxHfqFQbhWICP7Jd3ne9O1vwd
dAm84wrXtT5r0tsCkDnfKTCr4JrGKidc1kxkemzDkhyKKEwqZGKSvWgyXYUfDW/WDGJKDGNGXicI
JZGQ0AYl3zKG5QYgKLZsNsouRJdu2gz2+LiCN1j1X806rHW14dYYdm7HyujEBx/qKjvnGDTszOb8
KOmhcE091B+n3qWHeDJrGoTv7T+v9/B8gLxxdLOZeo+bR5ujcNnng5Uh8UP3ubXGHa7c9MG2ZR6O
fXzPAYJsAD7vtV+a92KonSK69incbdakotPXLSIGth1taTdMlrkbaCm0VuA4jFXowOdVatTvfXTY
NQOJLFhvyFPht0eIK2aRY5M9zGSIxm6y5dR9l3NYGA6d58RvRuBOfISG+ZrHqBzDed3CSsMzkxkq
qxL2aHw3Oy79q5uhpMHxCV0oQnUZVyfMlXDFThDPrXAsmzsLmNOq9hvjoiiSsVk8itV4lQF1xjeO
rP2ZjR65l0B6RH4Fi9c0L/q5TQ2XCTgDxvj9XGQ8aPMQVxMHM1hI111VcXnHvD89rMfWxyeUs3yu
U7feYY5r8UrIhhxe7mEfADcrWmPrpwA7zDtJ3cs3FpZdLetfCZ2VMbcDvxiV1HAAIJGAXkWEKhJx
00FBka5R75JK0aq79XAf54lOSNRzQQkCLkO70+mOm1TRvWGENCuVJdhupdlOfEvaRhp/1VOxJNRp
4hN+WqaafFwUIsLzFKcF2YemfJfrnnBt4+LqGv9Gn3EZbYqnCpQSvwFxteWv8iVFqLEPWvK2RArU
lKZ4qFuomojS8VNl1S7/V0RNy4ccnyCQg4ib0Z142crtYNElvkFciQWOQBWPQEOMjNU759RYzWeU
F5cIoLl11uCVbbs0RTu8VHRTDFdoy+FMRBrk0pDBc1wvvWGr+0MucsbxZscPlrUZ8wgrCwioy8dh
eOMELjgCBemviJDqWY3lsHygzNLlKR8/Hq9ogx+HhBot9z+BBhG7aixyq/kQFU6EwRsdKQyBITq3
uoMr/ezGhvs5lZLmDlId5LUjkpNWsbxO8qbaGda9iZtgsh98cHHqwkmhkaP75jPRaC5jy4/HaFcC
LrCt3XEtyVn6zHl7lnfb73AHGHCYZbbVVPMHj04sLyrPBqufgNUMQC4Cv2e0waBbQ4XoXR26S3AY
Kj5cAy1jGM6eT6PoRVxJciH2BG75z2fUUBCworQuXapjASOJl5cf1vZx46q8XArd4xpqDosDnZyl
Fj4sYNV7y/JK+qx1s20zC2x9aNbjAosAp4GDLXKsCI1mN31Vwd6nQ+hE+VPFzIhLREJwWfZxmRWc
Ie4hh6Z//VIZHJ6W9hJA2xgVQwpuKZeMqULrhnV+fGZFW49AfItajSMom6a3UB6c0DngWxKFu2r1
/hggDZvxRkR3FygO/HJf5VxD7C/SseAU++X2D3tCRWrGQskxQ+buEOW75VNpxQkuVkCV5SvXqJbg
fFzkpl0uqxuF1ZdLZ13zvt2E8fR004QIYPJ/h7SN3EWbujW+ZrWOHKtFBw8XlcPPHYJGlSfLuVDZ
VsNhgdzIsoubpmTDHFcu6JSZa426ZFnqxzdQ2dzAU0wO0TzJoWXCuY/nBRaxPoaFw5McB325+eOr
gQK+7FgtBxvp71LKWXoixx9rsD7m+XA4oMq/VOmqzWlS5ksA0V5i5HHbE2jQXDyGPPRPWW+RUoA/
Sb5nRgM0sV9ixvE8C1+KnkMR5Qh82smbUDVRzp12qALHIl32CZ0AwXo/xtzj04/9UdTtjtfbdB8M
dL4igLslYYdBq1pSsEj3kiXIHq7Tezk0jy9wftkQ6AksER2EjcmzOcY2BGCXBWs107IVjv8ImGXJ
V7JRM3ibNJyWV3xsKZXDjADOWsl6uVQkx5fTLp/0riHRMOhacEh5jRkhg2S2NqC7wwI5bgwPMVNu
zbFmnwc3V8NS9VZmROnsoJ7HAy4TaBykPC812nEFuQyw0HJRoUV+xQuhC0/JrNHNz9EsLZG+QPVX
o7W/sc1ieQjH+M1ZsbS1dE6drGkX8/hYTufwzQt0+8cmggsQHjk0Ha8KOgz6ac/NshLMwVzT2ytS
CvLcOTK5DUAHy0dHLyfN4WXkLF4eZ8uhSChq9HTZpyGzVPY3agpLoHy7waGbJ5cGDRYuAC1HY2Hx
saV+bsV0ekh9jTbGhe2MFZKrwnCH9+iBKiGJBUZkoXwC0Ak7XOy8spuYOje7qSvhejvCKho0YKsk
vSNZgXV5wqGhM+7evsQXPtOPT4+OJVemmdbiYYNf08kl0i/PMt3UxcXhSVnog/L+EohLPCPNQIzL
3U9onpnOx3KyklEGuS7iHlCPHaKmhTp1rvzZABIoQGbvPUoJ37w1OJzscQPy3aAunkHJ2uirHQJX
fTjbjZfmTRl5ZAJCgvps165HdqkCNG/o2a6gtLfCXx2PfU6+JRWgl8Umz7JiWaOHqJUyK3uJrUtj
8hhkusPaPH513ALJoVTKwR2halFrkagg2r4kQ6STPhuONtVSNWR2uGzUY6B1PO46Xx2vvjnkMWIe
lwCnOdHSVHGSRPAVSyolz6/FuKylwZuX6IvjO1SdtQsUiX88Rm0bLCU/kEco9bLXYPsu8a7QlpOc
1bt81dfMTZ70YpBU9sdN//a7f7Em+vHd4wKB2gSOYLbls2+8hWjyA2eKJ29HeVgVQdzKrgr3do2a
erlrc2upU3wmVQT540l5LHNmjQH207E6ShN0aD+UhwLoWB8ccrUwRxAQANfhlLVwAeImzlz9CasB
liqbiqTL1Gj4Q2o+6bW71mTVvksmcmxLHJYSpKklWB466cdmlwkBdHLuIh43F4XmVRZpa2MOYbgc
Wpr/B4Oc/XN5+yif2/9cfvefXnj//fOXWOMdP3qZmPz0BToBSafu++dGvX9u+7z77//kF0XP5fKd
/9v/PPI2P6Lv+l//8bXsi275bVFSFj/OYFye7OuGdbvmufga/2PfJ4/FT6Ob5ceOcxtb/83RGYpA
+OXkcl+GM+Nz2/3Xf1D+/+YQRjy69DZtFdOGnHKc29i/0XeCLAzO1PV9yDtMKI5zG4OpDdQ0EEw6
wQvSt/7vjG0Me1krf+0E29EBdNoGQiV8iIcOw0nPnMmikdXFiHpNFA7ZBY1NA1QoPqzp2kebzlop
o9GQ8QJzkWOZXI9fzCa2+v3YZeXGC4dwhqyvxmTTzXWpratSA94amVG0tz2lWzumFNhOp10nt509
j0FJ7wrt0kZ5IBYyR4zrqo+cx1jhGYomSxzdNa0osXzyLOgMFLmiZ4xSARs0MWDUGbzM4qIcm/a7
77Xy80C7C+x0WHV2MLuhNdHPlmW9legZantLoRW+Ryd3pmMTxuH0oZ9053JshxZmOUf5F5ZajEVn
6jn3SLGa906UDTKQUAG+ZUBh3mdIXH7x9Yj5dDTE9QOaNS6MkmlIxa1bjFMAMrZuVvifqWeJGCFW
B17pfu1LI35A0tR7T5NJqo0skba5Rj5SmKA1iplhcmtbn2ow7hnKUvBgVyRZ8ptuhI78rEWd430G
EKPjKI5qarxF+9r8OBRysteR64IE0eYFghGCYNEBc0xJj+ieWNAQtuGgEyijCGVOP5OI20mz5y3G
w2SC7uxFfZO1Mdr9HYqUzb6H/gFoBOrIpWV49bdFsjVZa7iXMqRylddgzJmbxSoLG0NtgVqUt7Jf
sDJ62rb9JRS3qVv16LHLS4xtxwiheLA0q046wt6Hvp3dFSDReJ10O6tNLYs0Xs/I83+L8aJurvss
EuEFwKXmAcFs77EwRuubExct0HvXUZ+tVES/59qYcjdeIaG6VAB5UM2CQgzlik5JtK6AqVbrCjba
jeXW1vOi3Crvshp07y5OBNQ7AG5T+qlr4VziO13Y+VrIRU/P6Hm2wI0Tekaxg6VzgsiHySlQ9c57
10X7CZyHo11A44z0DaimKd04sVMh2OPWUfyxYfyCMEaiqxFId8U+Q0ixrx4YcUlrAV5NT0aJDBdS
4xNS5WGimgeJnPmGkhD97Qbwzj1giJKeOsmDBFlcoeiIbPAoLiyOou9NF/oJxGF0Eh8JYB10Jx0w
yJVstYZWjAKKvGEE2KarGSxMuCskasP02YcKbMU8ISeAkgwILD2POzq1SPoClm/rvMLjIcLKYY7K
5EErnPi5LvB4XzMdgzdkwKZDu8mkC8O7MstgsqPivpvR8NmZOWwDpNdZ75vEtRYZ5tKi5V9NhYc+
KG1J+LKoSH2nrwPBARNV4QCJ8owWI+S4eHT1lm7zaJnNB9Q+gOjFZoNUtyVy5DeK3rfqmz6mPt8a
IK/0jYg0vDmG0ugvRwzN8fqSTrTTgXMmwSQKuZ9ScHu07LXh/kWaB+YIhrRN3nm3UoMatyHydR/z
RsYS4JWZfYwi0r7VYEzu75gM+++rLjfeaUo0N6k5o8oZOX254XLifuNaNEk2jZSjs0aovMSaoK2d
P4iQye9YW0yPoa0878Lz+yhfE6lrlO+mBFRNyMjwbvSQ4986FHL9Cr7Q+I6Zng6TFCEoay0ViRxC
fYZlrGdhQ0MZ5OjpG8/I+mmdpIUboJOFiXKsRDtd5mEPSsfD6IJVz4wk3yIMjjrYy+n1f3CE3w3P
Tdc3z/+4eazaf+z64ttjx9H58xH+//NE55B940R/zLP8sfj2j4t2+av9KRfgJ/95qLu/uToOSxzM
lrUc3KSPx0Pd0X8zOe59n9wM3AVF2Z+HuiAX0HT05TwLJAckvUUC4k80hvEbiSg6MWQIaM4yEv53
jvWT/FYYpBxL0qGd1DQQjvJwkFkeZJN9x3wbID1yxevETszd1DXmH1qbCbCn+fSQ0Apfl5TeO9wC
HOBHQOEEFc0eCkyyHdAF/pxBedr88Dx/gU5Y7v+HfOOvK1swFz9k3LFItaH1rCzIzVhC+QVhmU1U
z6nnezfoXodrrfHtbR252kofVP6hM+dPA7OdnQGTdSn3bewfEPHe0Hg3drgW1huzxL7HpX29Jek2
35+50p+z7L+u9CS71sreIVpmWdCHqCWDlaKtwFRtBfEm/qoh2XrlMF3fDnMMy8emMbDp6Mee8Q99
UQD4Ky/769MXTv8Pz8n02hAb7yYLtNrA59qtRoh8kb31ak6XJu5k0JZVjrz7WG0qfRwQtwyTM/CE
ZZX86rNPqqKyoPeP4kMWzAU18apyhuQ+wvHjAok3nAZGX3uPmDLy8SBF/j0Jrb/ud2kk/HC/g0/O
hL9TGlRZL3ej7B3wyUV+U4batzMv9LXbOklxYWpQZc9jFgx6FF/NcAm2U1aUH5E4RJ93DmPYc1hC
+JHCvr6SRSDnodt50Xyb5ePGt8W08Zny3aDM94TWOUTjBCtk5unhmZdu/NzQ+eshLP/+w0NA2xK0
hjOmgZGl0xrYU7pFL7Td5Z7pB+asFZfY1meX8PYk/B4n/ugY6KkxSPK3Za9FbF5Gi6rJgSpmU3yp
jbpxW839dAXcWl1oLULTWe22Kzmp7vbtp7qsx1+tlROMlGzHpKOtVGARMUmkNe16M03psEdP/8Pb
n/AilfKvH4HAzc9PpacplDPjKIN80HJG/Ga9jNxFYOfVdDWQSAEBTsq9aCG6zLDQccSAYTFIkIsa
eId7HF/UNm4WEXSoF2Anhuz3roisIEJzPXBT1cGL1ot1OEf1HulpsZ1o/u/x74rXetvr2wzHnBr4
0FaGobGDAVZcWUNfX0y02jdM5Rb9YH26siIIS21WMoSOOCZwI4c61nsYSjTmmabVr5/2v8hrpIr+
HfCnMihg8MH6TtyNAkSwAoDm7t5+3K9EHirPnx93De/a8NXE43ZTDCtwkdjA/5Trruhvq0j+jv3C
F6uLi82CGgO5bqozL/oFn/WrF30ScSsR9q7VWGWQJbgAADeDzQpVVbeohOIBQK8H195Lc9dB61tl
Fvqhur9v/Y4KsXYmWwvmTocqdeZBLHHhV5dzEoLBSVTlXNo87Eqa1+MMNQjZz0QG9E/cVVlYl4UX
5dsaBB4lBO4AQs+ydd7WUzBYUOvOXMavg4Jzqhg2QLz2paaXQeRHSVAYabTKBkWvLQo/1eZItr0U
RErrSKLH2gMc4Xt7z5vP6e783CH4Z1CiQ/HzekAjyhKUuXkAxBpvOsqzTVTm9RX+BTmJqnNOduW1
tX0SnkPlsbMGLw+GdJL7loE4h71fbzRohm8/yp9xnX/dyUl4BaQDDr8CeZB1fboJDR3LtUz4vEFo
mLX5Yuam9N/f/rDX9pF7Ehn7gtmvrOcIoyJA8ipzsnvAJhDBl6jDZLTdIAYWXwBC/45LR7NxprQ4
s5NeHCR/sXRPbcddKnaAbJ3YJ7BBLtuKdoNWevMXBdjlptIxCbdNivi1AAOzDyswmDzmQaKUYTj2
k9aRka06Hny0McfEv8V0DwBMA+U8SIC47YC8Y4UsE6ZoE0y1J7TL5YOVxMxLe40+CnKKpGp1UU/N
JrHURLUyVuqu7hy/27/9eA/+y7+4R//k+VLK9wXQ1yLwHE19Q0WwQDSDO78Epir8XWvz3FdZ6+Dv
1Dd5fpWjSJxuuh4bphWj6HwR6XUmiEs0dnGKAUjkjCw+cHfOOh88wEZ5A3GFaaL21Ta68LGWod5D
GjLTL5lq+y8xGI4NjOlyZzM2AnDRwPFZ2TZn1WrENwcwPZSMbO+EiftO8/BpWkPP0+u157kD/gOT
cdP2g7o1Q3yVlxm8f5Gr1iO9S3Qxb3OGy5j0FWgCbvC4ivdOYdD4SkyzfyeMim4T0iPuXQSJRfF8
4/QqwWVFX09weuBntob4XVlNRn9MyGkLzKaU16qeoi82adsVTk6Tdzv4hb614VWb6xQzQca7lOH+
qk9HlCh8QAkOJowFeMWpjLq9EZfOR7NPQRepopy/izAVX0fQDVsjFJ4d1Kow72uPbgLEF2FdN6nj
f1Qt6qxb3YKDx4eiQ4YugYSQmZc96tN+OAraTtzeqq0h8Gyxzmrsa8Sc1qZAaaOlcRL0Zn6Za7MA
CzIli2SzA492rRt9+pjSePpoJhKVAbodFzUmp3s7MuiMdY3Nm4flWXnYqlWxop9hjUnQAmgUm4Lm
/MiDHuw9VFn9wdHQf1uNGE5m61F3sjsndX1xGXd2+1w6dv59TCv/CkOACpVpTBO25GDlVvcAgqwh
HXY1+vldiNiH3cPh0JvJ+yi9mbeMzE/+vpBFIVc2s3P0ZxPpPIg5QTyjgWADNJ4BFJz9QZcPo0yg
eag5sfStVYE4XcVGJGTgT7H5kCpnCEwvaz6lRZo+6pnjfJWWQIK/j2C+f6o7zfnq28MsdqjTTsA1
6W5E905iFgACK1FCml6A9XjoGOV7S0r5OTLKIlrPuZFpQVbja7g29U7bhaDWrYt6aI0LmHii34Hl
mWmltg6CAlOZXMNu9tGmFkPWrJIqGcKN44GkAkmt9fdWx75f4QyGI6OXtMaH3hJGtEk6aAsrXRX5
ZqxsB2WeGHdS2DlXMFfxCDTnEExXOHYrr8Eb2UspTlHfwFfDV3Zdr2N/RhjNCKfuQ13ZBZrkFqzc
ndaDf0JVJQbqPPa4y8R+dx/prOs13BoWe95F3+24qLqVhdY5fVMdemtTZpG9cvu5DoSvy93U1lV6
N3a686GLp/6h0UTVoTpUsg5ZOtEGezGSIUczU3xo44Shr3T8J/gJEle4vHE/hH1VfBdm63z1okEH
zKAG+7lWJoxHHfAkHUG8Sz6lojWwXnBd/wlEXAeYtTWL5zKy0k8JJoGwNGm59htYjJO10k0LEHjN
fPSRUV1/26NT9rua+n5niKb/6DTIKWEAEpkXnVeG1Ta0RajD1zZu8QjFwrqiqVkBAvuOuWe1uAba
+E7Y1WWUqwkWo6THCFOtfgTtT181llATAwO60y4bYzPf5KVnfhnafoq3RVRejlLDPbMLGxrNqV5X
gTfl8N8ilU5Bhz2xsQ57fX7K/KbqAtWmat4aOJ9cIwg0QsnHZOv9QoAlanbVF013lbzUqlC7wcZk
vqj7uHNXZuWWn6025cX3vvKu9XrOui0UjJ3lMVFknYfJrY6/2oYXWQd2PU7OarRLPO/8DMkePcf3
BqdbSGtgRpMAW1jYXs3k+892qSXhVuaj9lVG9C6RP01sXH4ARD/VVAQA3iqC5wo/4EiuHRp/N8ov
OyxYHJS7cDKuUjw03JjDEo1FSF+V9UXzO/k45CPRNm8Nc/Higki/crKM9dyCvw+J4cTMdQIkDnOU
OLav/Ql9y/XbR+ArCZN70uQBedPTZW7ITwHy7+zCjC5wbFCrEh2HM+2apeL/xRnrntQCUy9bWcuy
DOhBNsx6lBlEeHIFb9/Aidj8nwnZMi/7sd7F4an0Z1SigkmW+VZHfWVPOmGtehv/aoDy7Qcsmcbd
DAtuRdvBwgDBdC57MKUrv0ziXabb+DDZPWYbVmnTQx7jnTWnyedqcDGwMzpE9vM2CZA/QHIDCMeW
8n++BJve3mpNav3NFN09qRQAXOFQ2s15kMJwuWYmA8A3xQAMT9IBUwSlb6EcLrvNby9q0tB9vnjk
6dVgbN9+kr/uqsFd+flBuqRxgOHrhGF+qt2lgxXeTOAtHkQtZih92EhA+YsC8FPxHuu5cwp7xisZ
tXtSGyhEMoe4t5IgBNPxDV+1zt4lMIp1gPgookARsFeo/4f1aqjl+KlDu+0RH/eafmSvBm3vVBlK
DrPfuqC6ADxuJ30ET6qBmOYfwqH+TOXP+EV37EHBbcyjjyKXEYV9nJf+1okH54sAxXeVj27JGWyZ
IQEE66Yzb/a153pSkxRWlZYE1ziI+8kg64mXRhGEoG0/jYhgTHVoU6caMDtWhRYW32LwHtGZvffa
9j6pVuamLDq0daJgIdt/cdD12DKemDZplVZnxHhfKe1OZRFBXLkNHlwpmZuB9JuQe1kgjxSL5Ntk
qnOqna/ciHcSpyJ3TkSETXWQDMBWI4amDFNIv0eHJPPt9X+iOflnJFn0mX+MJEUxOyI3pzww7Tne
NWNsrXPQx6TgJQqhLsfPerJT9Q5qPBz2HgWKEWLAHhp1+HzmEpY1/4tYeepA4Vai8wc6VOyyrryo
QqX2SPPH7xZCw32NfgcGL3HzCf/MntaGad+ktbTv5zrDM70lplZhLs8UR69sS295Ez/0EYsmSliY
XRYI0maIHhpjQM0GiQPdfq3LctElUMPf60mdYmjohrlZ2kUoMYFMYpoeeaCgS7E10YV4//azfW0F
nYSZTumlO6FnQpMxNSAdZgXJTjYAD9T/PZ3+vxbQyU6vgHANyFGXdBUnA/kBkNUt6P8zkJ3XNtrJ
XvbCkV6A6xRBXdvNGqzHxxIdoqsWkZvVqKLxzDZ4JVx5JyVxMYxeAQEHONNUYa7baYioReImqtR8
LQUaYKNiezs9/rvOEJ7zjDFfWW6nlgrFJCdsyooykKFWf868hBtCeYHKROTW/AByDsESXUsjit4x
QrysycPSRJcSmzRkjER23SG2i8ENNt8QQcrycwliAxEfZ2jEPi2HrCahWwpqoYjFEFmJ+KZdl3tV
yfEdbJLhwZ2wnF2NjNwvDINZxSZ0rThE44V0c69lLbWZK2qsMnCIa+517MYZnFtNZ8NNaYf7JOyz
z4WSTJ2gb5XnfGNeeTLOSejDq5ZpVp6lAVRmxC7wzl6IMfO1mWOJlyZZ+oAXVnRmkS2/9BcByFku
4odd7+iISJVelQSZMT+bZncPTqalfElvczHo+9Yb8z8sjN7PnI2vxdxTwXHNSVVaeoyo8Ky71r2+
v9dKCfRnQTq4RlLt+jb2d7mfPYazKx4AgSCjw2n97m8FBeckyGV6mFfzlGaBhYDYWssdudHx4wVF
gozw3/uIk7QKeofm4d8WB4zi+oswMTQ8zpLyis+az5zyr62Qk9A2QySAlCeioDPxEI/GetgSI7Lr
qtEr7EuHRTbHEl//3v2cBLkCjBmVuxcF1I64R42ac4FRhY8mj+Zu3/6IVyLdqcx07BbTDGIhCyQN
p3f6XImVV5hAunC+RNca28y3P+cFnvur1X4S6/yutif8rHFaDZ3iKq2UuW4d5HR1cCi7Qpjipsdf
97LV+judjf/OdaTcunpZfe4LQ3+EX4kxW6w/F5QYK3xXy5XXaR+jMS0CtJ1EWAUQ9NtVHGW/Q3Fy
YDchV0ORXKxHAWlR9VG2E023h7tHR6qS9hapa0zO+iG7U7r9FRFfRYWLok9qCz8YyghJXTeuETwj
AZqcWN4XvN5tCN1tC48vu8r6tlm3reGgfBT+4XZJvYP+1p1ZaK9t1wVm+GN46HIweWhHUAV4OCBB
tijTleoaZ+3kpQMzkKlB3Bha0Ajo7micii9RW/drU+bamXrvlbV+6jNVDo70Z1OPgla60R+LG+2H
2UCpycBdej2IjLIcqaPh+e0VYixb6BcrxD6Jh26NNW6nMGZHBUe7cZ223JphMQdV2zQX42TE+85p
YVeYLTxF1MFXyURPUMLTQzDMCddM9z+hjOuvkWVBd8Ju0BUaJ0CL0pr/QInLW0aE6cY2cmNDGQ4+
SZXn1OFfe1QnlbE/ICfuJn0UuNPUbk2j0HB2gjM8S/v3LsmS+zmnwfH2g3p1ZZxEUqWiDGYwpsWG
pBa3TNXutbxTT+6ghqtkSAYkJLL2Ks7jGMK8LEGDpe2mTpJzd7vE01+9qZM4m2ZwFYTWcbcLTEwl
QLdkAkL5zP0tIeFXv/4kxtZtg7NCxMgi0pFwXEwCg3JGqtidOYX9aXKv4EQZQM3m9KKxa3cFpcE5
U2Itz/BXn30ScjUdL+uhIo3R7BxIQz8VG20RhB8Lozlzf6+EXPskuaTphJ4ScpMButDGA7yp6QbI
29fWm4thTe/kXL/pRBflzxzZPgm5niqAEzlIJ2VYR8LznNS9Oc7yamy6bmOUobH37FzbjTkoyTmd
kvvC6MU2gRuwqOWljDHo7QOaFWoLG9O8VDY+gUjYnvOWeeVZn7rzATY2O+VxXOdNkd6HBu1gHc1v
Ria2/vnttfTaR5wkdChglP/D3nksSW5k2/Zf7viBBuFQgzsBECq1LJETWFUly6E14AC+/i0kye5k
GrPSusd3QmtjsyoiINz9nLP32mND2voRuK1/QJQ8hQlhvddiFB/Frr1zjNs036/X6V4VoNGslI/o
wRO7Ci4FcYn+3rRJSyDqE8CUhIbAzKj5YC9970e9WWwQwbZrQ/Lskds3hA7o0TMe2T4ko6H84CT1
hg/0r2dHbJ/96nCKPFhOovDpULla8kALtsSa2Zk3RUeyKkwWK4LcPd3zudBA+zQ5mqCWQ1t6K/rj
aoxmYeQ7sCACu/pcQNcCikETYYg6/O7/3Ysk3ixDpGMMiuFQSvkE785X5I4vmbvsQWFgzUnX9vDr
h+idF1a8WY9wj2ODkqzfcAgIWcB4f77WPipl2mlhUhL//evPee++vll7fHJY6qa1U7q343oqppkk
49jXdp0qyg8u2Tsr94ajen1bgTTgg18RJ0wQknbr4IvLoa2W3X/3A94sOIYDDJOnvjp2TuoAICQV
OzbZITywav/dR7zNZ8rberDGAv1SVhEUYZskevbNeo2MV32wvb5zF6w3SwZW19Ejo4EfkfjedZPX
SMxIp7+ZpvKju/DOA/VSmL96uTRw7z6Rh+VRtvHwKY51Ynbn3Dg5eg+JnXjy06/vxzunEuvNQsFX
7+Yxt7IjOst7mBdXMuudwKi1IpoaGNaO8D54rt67aNu/f/WLVqz/q0IcfRQV8wCzStcAoz9IJD35
Ez33hxfo5o89+HUS2XtyI+vN645jnWyCZiJ0J0PHp7Q5PtPnVIO+VJkHpXo08tvIxqS9sEtzYwg6
Q5hnHdbjXeF6H57L37t5b1YDL7FpC1SU0UndEv+n4Oj2oWEbBtjSGu28uWTdCUQ4eM2kG7+VfW08
2WPf1OE0CuvHsGjqzM9twqZzag6kcQVlhCcNGii/vusvT+o/nGHeeoNqLbUp79HsWtAm82zV7xcx
MrvPsMJ3OWj0mXYr0kNEvRvjH+K5HzJHHve+HBX2SNsmKdIFeFNwG1UhKqa9bvt5xC98GGxIphPp
0ju0l2tU4h3ZZRKy5pgn553qL9otHKfusWmQmxLoTAsvpkU6n53Emw4l7vY99tVz7mB7gJrlE+Ej
zatZ7yMDnOmvL8A7O/Km1379MBZNm5kNsddH5v8mAdgbw8jP0N1CMDtOq0liTEPt3nX+Bwu3eIlO
+6dL/mblQ6mZbPCy7IjJknhNMdbeedpCZw3IKCCFfIb7hLOqAMTYxFp5Se71NNK4p7+3s+w0jSgf
kaSQbcYxM2WnJQZmbthRVUacd0eOwBnDN7CttrafSH+nG1VxbUNNFuqpBNlKlkWtxYch9/qTmVIX
QPxw5+eE3B68hezaN3arTdfImqz7AqTKzdg69nPSVgl5RPpU9OHQp87lhgBIYbn3cKIzy4yvyaW3
gVZovrqTjFanSDZOPe41+YMpaVXjiIjNqwq2CtqPMmcGARPnDLdlk0X+OrRbhjtiJXcBnXFIGR/O
OwMEIIRuzy2O4wqida+52lpE/kJuxi7usSaBefLK3x0aORA+bc2N0tnqv3aTnn7zBsAxodZ2PvMI
PE+QJrQ1/qYbI0neenk3OIk6s3HU73vDv27khLVqxbeMXT0ZGwC9jsZkgaCmi5pMCj0o9ATuLcQy
5vH8vvR5LArjAtt9bIM0GOMxQiQDsqytk2+mS8IYynGgbLBPyyLZWZUwvthDa54VSdXuksTr24Ne
VrQqDNO1YOcp1Rmh18Tt0SKyJUph1rihx9aV3JSsBkZYxWMGGtWq5t9rvRmmO5ST7V3mZhOjcs+H
04rIxf/Rxn1hheB/iqMkEromFsmJMaiQkqGh1pKduhp8rXiums7+UixUoUAqcjcO3VVkn7ws1Ynf
MJP8s0oT2w1nhcc7GlflPQ64djJwM7L5no0LrwrBJ2uNWnGZTsacWWOgM00P0SS0JtFP7sgjvZoO
Y0qm8HDfbU19WQyjlhjJJu+xMeP0J3wMMz3gBivzyC37+DgPVWaHfQdXmuAfZBiBUBahK41nx9AL
yMwShyJf1AMVR4WGCUh+tqcisVcUwqWYD7kSAMCtCWIqOfNChHbippfAw1aDSk3ptwpOBTgXB69V
avrJo7QM/gPPqLBH6M2sW6dpXYlcyBdJDE2NBc0/tb1WfU8HUDThPA7+k4LrEHv0vWFuEe/nAYbD
v1b47mEiRwPydCpUmDmAUvCOFf2FKpol39PVar8uUyq/9fqaAvIriFzXxwQgr9Pr/tnEOK2GR+by
1RVj0DMFunYKCTqQt/jgGu/I8Y7JlwfGqdiNXcMNZfUW3/0sGcm16DFm8la4Z5lpzDN0okonG8bV
s2untscv8dhO54wcO5I2vM7OCLyR/r1MeyLb4YiwMtuZ32V3dJrrQ5XB852chZyuJNdK8jLKlV5f
3qaPYxW7z/Vo52zaWTlzSfy+l7t0qGpU0i2Tgv3gN6tk1Y6bS6nmNN9bWtHfSrvSl9Cj72GHK8k8
LFdeN47BgNVBBnWyAgfWR5U/aFjosFr1ZvmIJFoTAQhr77tn1FSaOWyNFavCps/BYWlfr94m4q/z
ySmizB3iA2K5LtlpPhCsfUsz8aoo55wQL1aQFMvkarDUNJOGuwRWHrO7YtF2i6U1BpgWXAO7evWG
vdDj5gHLDHLvSXcvcguW0j7xy+F5mmA1BKvhrvsFHiFjHkMxBBFEyAWrMAsvMDOeBn+Y6JNbg7qc
RO+lAX+fF5pzLI9dDBjpbBxXUn346cgGm6QrnmE4qzEqFRHFPU3Hr77odJaufFi4Qu0E29oS6KOC
sof0Rdi5N53PK3xoCH2rfa3rngcorBvUCZJgBnjcT+1b3voWCWHiA6sCqTMuERBsFdawuLqDpIv/
3banS69sP0ndSbvIIAHufDY1+TvsypQnATFP4BhVei1K1/oRJ8QSRFPWNBhiHdM+EXBiuHvYQBWe
+hXmFMNy271t5j5P97W+dT3nwhWB025I0KQZp5ijzsDcoK/yJfKhHDB7Lw2jDejO6F+ACpjFcSjj
6za13GvwAMZDCkj6bs31pA5as3F4FDNMtYFO8ydGe1WJi4JpGw96o+KbWS9sEQiQn1/d2h/rnd0j
NUJL1V73sTlczunyiGBxk02AcX/Q8lUDLeIk/TOpLDWocIRdNZrvvHwq/IIvV6f5AtorFt0ZHcZy
DQ0e2Whpam2Dz3hEsZpAq+9QpKm7JPPnJ0nS1HLwBou0Oye3uyEs2lQtnD0L8oTY0vUNsSX1I/RO
bIp+UX3HUjg9rIAvrxqgKvhKdUlcR1WpNo1msmyn0OHBgR/fL4R85jV5g7o7E7+apsArDqQYeD8S
3t2vHAw6MyjRGzfI7HrI48sku3XT6+ZVqPuxPyC4cOMTvEyafUx0xwvm2naAkIu06opQHgRrFymZ
EsB+bLO/+39gGp2UU4N3mKqs/Ixeh69GqFjz+b86gb20eF+VA1nMKjkCKT9kHouVkRo/BAjLa5+1
61RKGO79BpacgIh+0K94p/7Ahve3Ix9LJ+iu7QPZj5rbHCHwT+pc5+QW6Y9f/6T39OEvJqBXv0mR
4kGIh+0f3ImuWGWBqK3LhHjM1Oi/D1u6Q08MXtSUfXckJMCJhqKev3/w4e/U7W/RxjoqUUeji3eY
DPUgbUMPlynBzIIZNzSlDgp+grZPDENKCBDJa0Wr9HPVKhy+Iq8iqy80+KjTt19/nXcO2C9mwVeX
Yl7hojSTcg66IsnElJMDGbnqr/w0qQ8IF4sw1tNxLzmkfPCJ7xRdL22qV5/ItjnkjpljlCAb7ZOJ
Twjk6syZgwXrhGp//u+eo5dW6qvPMWq4AKap3AOhENUuKczikrPlFDWAq29/ffHeeVRfPKCvPmKF
XwKuzfUOK7Cpy8F3rouZeOsuXj9S17z3Cdu/f/UJfVZCgGN4dHA87XHILOsmA2CKiGXRP2gsvHc7
3pTi8AAKZmaCAUDamjsF0eG8nmtjjyu0PhijN39Qyr7TwHjBFb36JXFniR6IqnYANviFIvakkXUS
eWXy3Kb1csqdwf1AFfPSrv2HCu6l6/Dqo5yu6HRE+ckxHnFstnUhb2DGTtdMmpxgHXrnaDkj6tQ+
qy7xoFlh3cHTMpNkjiw2j09+4f8sodVFdTrkF1M8G/DulIXHx1KRSWW08yTqBQH8LJIjWA000c7O
LFLnxhrImQFenQcOfWkUa5V7UlrWhcMiyp3GFHLfGgvydd8kbmg10gPRWvll7DrMUMdFXUxaM+8S
Vy9PZZEzHi5ga7CFrrtKZSUhOEYZuSNSCSrRAT1h/xG7/L1J1Mu/f3XRWllkSOgK7QAAsz8ZnDN3
9Uz0NibGPhKxyMBqLBht81w769NBvwNOyIHMS5IPHpA3DPF/9alfVutX3yA3ZWt2cRkfJtWTw+kZ
a3HNlNDqgg43xcE1nNaMcN77BmrDvv82mVMZObMzHjxiPKggltyIVGYT7pHRn/7ga72zXL8NibYS
2Q9CU8mxA910qFL2JLSc5gfthnfeb/PNZHjMDc2fY94+G5dAWBeJT5W9DHuK4I9kDi8b5z+8Di9O
pVfXlZicOrGAIB/hSfgRN3XZN5IGu2+58kfcoc8ldVXhrW3XHVkX8uvooDjO5i20xlyXs8KksIu9
Th5WBRai7P34MpZjuqdZgSdT+sQwFwWU5/pHZ/vp/tdr63sjrxfh66uvndSxrMaCec8ar8NOIdsL
QRGr/R827HVwbzrL+TF7rXVRLMI+AkEed2aqC/Ztz7+xDH++QiLLqwc/914kNklfvW+c//rrvbNs
mtu/f/XtPEmSz+pzUWOvcW99Z0RsQa80NH2gx1xU8UEL+51l80W//epzgEWVuXRMqIb+cuMLEk1y
vx8D17HjgJsIPwRXw3/3k97sBCXcZqMjofWgd/N0saALC6kVibL1dHyHmD3+uHT/B7v4k2x1ev7f
/zEFD8b7tIvHbpTjt+U15OLlT/xFubB+013bdh2XLAXsfxtA70/Khe39JnhBfRgYJn8EeN6/KReW
/huDT9RDPBcORKlX7CqNFBP+DEklf/2l/1HmyN+XLQc2nC+25BLHQL+ykbT+/hbQo5mEUBRSa1np
X/vC7vcjVu6HQZ958V5dmX8YFvz9hPrnZ8HI4jTOzyJQ5e+fteg65IM2t3ZY7/ooj4EsTSawQuJ6
x8OIV+o+zwDE2F2yfvBC/H3p//OT+UwyPQDVeW/LBW+2SAYwU2uXy7YGiFrS7UIx9uuf94+X0uL3
YUHUXfOtpA+u+GDlNR+S2t49NVVAZtZl/tEm8GZ7//O3vPqYN3fMmKhRG5+PUd2UXo0V7QnVdtpD
AwKV0Ky4Hw/17AqwNwXtQZAHnzFR3GLMkh+czt4YZP/6JgIWCzQWtAs8269XUEV4WeIp7qcK9dCK
+rC+1EKowaF9MPgnalm1N0IzgFQYDpF3i6UtLL+T73mGfvX00bTrH+8x5Je/vs2bxY9qNt2sR9Zu
UrKOWtu+0DYj2H92j13ygXD1Aw4kRgjc5bbIv1rMhYDVG2Od3eFbsPckTxdXTdpzsMTk+cF+8fb3
cGA0oNk4Qrc9asi3Z2Bh9bI0B6KmSBzHyZaTaJUMgxv9+gdZL3r2fx8qSHpxLJh6sHhYqIjreUuI
0KHVASDfIq06AuwDQarDipVtXPpAEGxcHcQ0JsmhSS3x3TKVv+IFJY/jaZDwVAmWJg9xOvm6Hs/Y
jBRiZdL8YmTDMS3B23wC7MwMEh/8NXCIXIap1Rhp2PkJPhOqeMMOF9N0+/OuSGcYXDCaCYOvmGvc
jla2ndEXglA43xAHjQi5ML3LcuHKnLK8scOcwuPKS9zb0rcvMnOVGbHAOoGx6OE2zrKcjb2q3ElE
yhuXR1cNtRMC5BEemghtKI7p9s9Dk6e9f0y6ucnukYuR9tCpli6R17a1H2lN5X+K2zGOr0dyFfzD
6EMpgyplT1pgaqmW/SiBPaPPVfTE1pJoY949wlLBldtMPgmP0T55BOTUUeL3c9TJqs8OA+RZwrRL
T/b7lbasGeplRy9Gc2saQ1lC47khHhn3cO8RLZHEFkHdGHwocNLhBMy0HMFbEf1AXjQgyhyrzbOo
58a4pqmGeAeww2CieyPcg2+zhbDAWdYuccd67YEiEUuQcgrv2dezmdaT68/euUQi7ke+u/TxXgOB
re/yeSi+WZllj7uOTLhlX6UzqLEcUMMaIDepdqXqifZp4BnfmJ1JkorjLN5NS+vtZlCWe0sCu/Pd
5h2pw6IYijvUwLBFFE5TG3ah1aRhDIVjiixt6X8mM6igiKQ3Ugw7wnpKzOaJeiCdA6sQsRArvdnE
9RjUGi1Tuakxix/sn0TeKmNqv6aiGsqwJ9/xoZSaB+8C+tQPLZbplRSlRgaHWYC7SHClurvGlVCO
h0EWX4VfYV8crZl5lELh+TN3uuUSJlD8Q8qmv0nKlZmASmdJFoI7TtdqaarPS6GzwMpGymt85Ziw
oYl6t73vGGtgVTiqkb1o0/08De2z6pu0OYFbnskAbrUOC7ejJZ/Xdo6zCMhaPQVwYjE6CqMrrgaU
rzkGKW/ABjalRTgx57g1sXKTKm8t6sqSQNJCjF7jPRFTQxpJ8jAfPerNEzHQXUmWp+vIgIQfm31B
x8eWLqXIcVtP+u2SlCP9SKxhMdk96M+J4dWYfuU86Ne4Y5kzt2RfH3WtgGRAWgZjpx7K7zOp5pN+
XgPUuNTIvnoyG4uCisfMu0Z6XW3B3IMawtEt9CfHx9nCqCHdElCQIdz58cR7GTei/lkTtP5tWJeY
4Sb4Pz3g6mfXVdwsjzxSxXMiEwOjs9yIgMmSNW2QsVBeZdLgMmUAIO+I0UqNAOFeU4Wtv/BSE2vj
XMY2BOzQcqzhyzKRKdQMy2BHKU/MXVnNDYK+vCt/r2imM4TOrJzndvHEyMVBa0z3tTWdo2iz8tw2
BO4KssYLG0MAL3dgIwbKI8OsrJJhO4O83cKAvQxHcxxJNRiKNokMQh/G0Eya+ski5IZVAAjzDfYO
MVNme+3vuq4xi4Exm0rCIYz5Av5kYV+keTv0JPyodNm7qbvm+76VvqBi8lN91zox/fZqsomPxjlr
z7d42Ohrp2O9EGWM9jRGP9jb3lncN10XrHbbMUV1Zl0cxNp264VBR/aTv5YjnDwcJPdJTwguE0FL
T8IYXxnePwN0zy6ps269bGQ23axaYpoYzo0CPEvVX+NDzJqdbfTujFEFjuUOI7/dYikf2+yow8tQ
odUVs3UUtbvdMB3iTSQd0fThytrH0+wn/v1ECG0Z5akmWojslU74S6forVSdo2lBXRrzhO9Lri7z
BStWoVzqtAzgbSfDbvZGrP60F9mBehdUJbAm0P/EL9P/3Hu566pdTqRTC6HEUw8ihzOzkJKk7hwC
GfQwieGbnSNpTFREptXcsxEkhXesxMghDZSlfTObCkFd486WvUt0wJ/kvqVtiyyeL78v7drUzo3R
tDso7DCVI+Yp2hah0zxywJRi5yXTdKVDeXF2qIILb6ej6mkivOA+fGZEHUOQG6mfhBjamEk5Og3T
CzvHB7KrpV1UYQ0go9g1dWYODw4x6QpQm7A+E38wu0c8+rN/pzkxF0yr4ATsE5NCL5ySJlYB75dd
h7w5ZKQ37NvTaUxTSyNxRbP0AJsvQA/DH7JLltWM8KaucU5iMeuj3sj13nAbRAM+sWf3RZYL5Dqx
WXFoXFqg7GPjOwE6FRtrrmEWXXbheZP62fS5W+BGzEAfACQgohTRbD8c3LQT/Vlh+ImItmUHACi/
bQN6uObnhN+J8MF0vgxD1SwXWqL1NSsZs8EgzoR10VowAgKRukO+7+JcPL2cd/6vZH1VsnJYfHUI
3IjOf/6fGzL6f//nMC5vWMsvf+CvitX5TXg0/qB7U4HaRGX+q2LduIyeyUkR4Qs58K9hy95vbMGc
iG2LItI3yd/4F5bR+I0/YLo6J1gqWf4j7z+hMtovjtd/n1e3QtVi4ulZjmdsJNm3qklbkGKVV1MS
JjOYMnCzlluFkMNEE3azExPaA/fiaVoN8QgtyMCf4vlZSo5Xm8AeIEzpno185nE0cuupT7z0Rqdp
2XPEqrSHJV+tZ7U2vhn1sjprGSnfIckG8TBoMykdNXPzc06wrDvSmuRdHQuTdM1qzW/HcbAvQLW4
beTPnf1pzlNkAM1a1QoXaaPskKJMFFvkds8XXqV+r6Tuo1FD4fIFkcJwxfQ8pY5SsTHsUfTzi9w4
778YuhsrVLvWxu7FbfStE6O8bZt4moKEsKbfiYBeE+wf0kIiNufduMsUxyuto8fa6QnQ6aXbjN+2
Az3ywNrhnrdmbAPgAfYio6YoHd54wYftDLMGoeooQ34dejleTpyPcnqH/iKCSZYUkoyqxQFlT39W
6p7GOL2ctOsO7Eqx790BwJaJFmkKcpeheVCOQFWiChxJvN2X0j41ZE0dpQTKeIVMRKz0wGb3q2GT
iBEKFBhaRBiwD9oJNASDaFIkba69gk/E1pWiW2m7HvOJb/vHxnFzGya+fY+4Mr7TMiFhavcER225
k8adViayYJH23EvB95MRYCF7DCWxco+yw+MY4K30TrpTcmJHIemRyaRhPSbfGXh9yDVkRluUmv/d
6WYrCRvHHr4TFT8PgZUDIDiaemnfkxC4oAXQiulB5YVLjhbTafqzEPhhumQoEkabzMycPDaVxhAm
Rr+5hFSLsI9wTJ5jAl+Mnx6mq5IA7S14nISVvudqF5gydeVrG5nYZMckRchZInearCasFw1WwSiW
Z6uv69+n1dF/zvWqX3NyRWtNRJXVQKECZBo2CjPWLkc7A+xvy1mIynZJvyeOGlTQ0R8G1EE98DTN
cfPkVnUCCxGIBLbRRayoEh04zKutLoH3a+lO7yscJsrLPNLD1657ypTnOYGj4JsTF5buDZEPYofE
xjmzB3r96M1idw1WmZhiBxADlYJj1k33fdHi4ipe/QKyROL27FfS5UJORcnhyjZt++CSE7mijB3N
NTJ7gqgzq4x3MJGbB6GXlhdWaQLnKDOJyAvndKqYxEqMsYe6y6bbjoDB7OSSsLGEToXOjiTB1fve
VCuo1k4g/GHDM2rnatY4xAUpLfRrZBLEhQGMKZ4Hw+u78853k4vGwR4fCH2eiQV3miXdAVbVRUj+
N+CjZaqbnwjNkt9zs4i/4H5ev2kk5KE50hzna0UUIvdOF83XItGw9NUcsLRIV8C6Ax1yVBZwpklL
AJTJ/OAxO86QpJjT1cQ2ngaMmMYnG+3XN5UD7SHoh/TZoFQVVHDO7d+IQretaAZ0/+z2UnODtY77
hxTH9HCyWP6SXdIP7X3VlsYtz5jVb8gFSud1qPMMiV82wdRafA1VGbydTx7D4gqjJg9u0LU43vaj
m5RktNVmM54PovGNs5GowflqEunsIixyPUq4eRqHM6f2uRyi5QwflrZBCvxoQpyAiLt25H+0SW4l
uP3IeLIjkWUscoTZ5OiNUk2dU6vU+ZXd9Km76xJCGomtwipzmalEimuAO/p3LXNNPYiLJPYORbGS
Fr6m+mYic4Z5vm5tIomOrUXhfVGDRaqgOzb2zVhoy3BLXJm+hsR8p3FEvSncO0EOCYLkZKn1M61N
0S93Y2k7cbCmDme8QEzt4syBWzIwokwx0n7XL6P+6K7K6aIFz5AWVsJVHCy56iuhwBaMR9OTS/fJ
tfWh+D0v4IgGZBp4au9wX5uQeFdvOeR04lkllkJ89pLSu+l5FvsAsDYn5nI2je/SrrXvaD3Jz+1i
7hU5gqnSUQ6VwwM1Yr/COGorYo9ajuPw5FJnjvolSa5scjnPevCWX9KsjMmBWv3scgWYbBxib5pg
/C+ehoxV1c0POcj1h93n3XXd5tlTwwnzPEkc43PMC/3DQB23hmrwAd6z6LhdBPvFfXaVGh8tW9Y4
6tKpHAivQzIJm4Hc6qDRM6+D5hl7PZgs4X22CNqrzx2qDwSt9EXmXTt0/Q5E/kqF2rLkjAo2OrVK
zWrjm8JaI9BHNX5GX59X9ksHpQxOvnuCZMRypIi2P9VKFQj/Zto5ZlPw7NEYksSyc/6eILmpKqEa
Qzawz8sOozGTdy4gVRBwfiOVM2PdNc4TsnYR5hKnPLsK1lU7ftKdDeSmuULEgW2MKZ0kChccAGgj
H1NX9V64uD7wlYHD/MB2Afw9yPw4v1h90s+o53RnRyLKymOW1uYTXHzEuzULCqU9xOxpn9GkenKk
Xf50Jco8ZoVO0+012lxfq7qeP9lmZkPXi3XnO9L64cEyLZMdVMxFGRQMvtjFsdv/cGvNP22Rbs9e
uuQ3fkvyIqDPCTtYZ/d+uWsSu7hdqjSr5wO7rV/p5xUg+E9jFrfIr+TQ4uND7f0zxzzzc9Kl/9MQ
jc7qVApyVVenDvBsUvNV0NNAcdSXqB6HL4RMMkyGcVY/pJR+ebCCy8GRKwzzlEIzdI/A2hnxVQwa
L4rBQv3SpWTb7VwC3UaK42I4xrFrjTt8ZaUVJhhRqmBILP3ZUfO6REiswZeCB4U4b2WyOOnz5OeB
lZnmg2eN4gHTrcTKhXE+o7WRxWiPZcOZa868h6GPKydM/byjt9xUjGIh7+sbl3/64uvVYG2KYvrj
VL1WCh3MXq/QGIIk7MexP2Gz8wQ0tiK7GoUspitqJLQNdlbKR3YUPT9lfm58ct3WpM6daY8lvYMY
ccZ4KaIl8Uy5s9xxsfbmXMHArShoHwcLcehh5eT0pXOTAmmCleQPJF01N9ASUxlOuoYga5Z5ccGi
TjqBL6bnkjiHZ06zy/cCWOCTt+ao99FccusgS5t8S5dbHfLOu6CCmqbnNXfi4SYlO/4RKaAXh3Lk
OBYodN56GGt5/qCyMc6RAhrO12XM1vNKpna7t0kT8s8aF3Bb0Kl4ME59GjdgyWi0fGJeUt9gv6nL
I6js+ZlIpYRkZfaOcyMeVRJ1ojImlMkkDQRJ3LonsKCTGQxGZpypdc0KdE6ZcwYFG0UfPSRQRX3S
EzXBM5yzaZrIeIGSkRvkWRNr48qQbLfqti33skGiHMh6Nr5wRmBWM1Idz5HX+v3nZCDMjhwSnOIB
QQ85UYmDjygXz5+WHf0Y7HOoidh0o6pb/bulWhf05p5LQyBrk8+15RPmq5VVTCetMpPPFXE/v3tu
BhO9yjk6BZVhYxbJ8W2c56JMbkeEyWSoKOU+lE2G0509Xl6lyGo3LEezEPFSzVBPNIRD4GKaxL9a
XYPxTMZrVlmj9sWqNNc6Zpq1GmE9qupMI/M7IeVisU85KOzHDLknC2y38BfUdh9fo6zmO6gqRu05
bcGyAboVi3n/SHT1HxON/yuIXxfE3i8L4vuRhYjS+PUQ19j+yF8lsfWbz3DUYhTrkxvkb5Sefw9x
dddgpeDJd/+se//MH3J+o9NDfoGHDpGsodczXOM3z6Ik9reEA5JjMR3/Fb/05xSV5KZ3LVioyRk6
/a0idmwDrLSAP0v6AeXM34dS0jQ7JzMcD7hmSs4e6Xku6HUzg5pWFI6X7D2jaBCok1wdlsC3PpdO
NZ/bkoBEGrtZFh9FZshPmGbYPPu0r9YgF0VuhgYa8T1d+O1/bmfsXUaxs8+mpIQXp1AxVl3LMIes
tuwp01YQBCWeBOvguT2uZeGW+kwIu12eL4zHv4l5pC60OZWPgUUI6RiQf167ESJa09wk+Ju5LwPB
GFTp2FwDMdTrcGlQ++7YyrpDNW4cwzrtmfIw6xnaCKHnRFOXwFQ3JLWQhPhpgt2p6pXIg9Fx8uYk
iU7WgklfCPYeIF3lt2iTV+j70l7Knef1BbHmRBdTo5MonkN5StwfVDTJp0pTat3r3VDOoZHM/q2Q
c/xTjKN8jG3VP3ZWzc8BCGJ9RiOQ3JmzOTOnG8ZyN1omZ6PpJbxE23JMMlLO2Xo7cpUgZZCUjkw9
jb1TI935G3ao7DPgDecpTSsyxqcsmZ1Q852mjWqDlLSIdsRUR7m1WqGxpaz4qzJ5kmR8p7YMlppy
ZYNS5MUDZx5CWvQ+HR/YfLaNlCjTq/Yl0MUaPP9LuqW8FORHdZEvp/LQNDqO/mpLhJFomjnvbDkx
3VRwOoLApRlRDNx0ZmVGvHUJSpKImRTObbNN14ie4dDU3XsvgTRYmqpv8UtMjZltLAIS0/gLJezB
nxmUv2SLYyXgpuW3ervsJfhmW1wpaUmYAlz4Eo6zbDk5JPRsrtgJKj78I4J0sklhYAQiScCOx9Do
d31L3SleAniWJS3ZPxypDURsbSE9zktgT1xUtRP0DGLycLUEq7j+EvDDe8SgMe4IkYmqlxCgdVht
Tr+gVD22Y4OtuDJGLT0j6mz+WXpi1k6kKkoU+XQ4y1tZNA3OL6fwb+mPDlTVdKyiUWjdl5kRlzwz
RKFnJyfu4vthGqnHIjHrs/lIHJdNlrFfO9n5Yq7TPcfsyftMsLKFLStFLI53EfngkXl+fA8MVzJN
0eieMCkt3DpIC2KH6ABT3HEC0jiRESFI+sgxsU15NcVYsANXGBJca1/A26womLMLZSp1adQMriKK
rASpvhxQ55tjjSvcp/s73MQgWx1o/CagtUzvsXHhX58Jx3HqhLFR2mdZtR/ajM5CtWTGeDZJm0wj
XUM/EuRlJWZMOLbkSJPL6YIZLuVkrLWMISuGCtnO/qPkdEiP4gs6+q1RJ+195us5ofe5sAfSMeb+
wXkpYIdy8J8r5Qgr4tSlfQMSml8zCaHsrTkNa1xMqmGBK+tJ/VEiz1Jd0SugcJ63Grp5Kaf1Fhwr
nhB31TgpbCV3MteU343ZNl87gtCYXvx/9s5rOW4sS9cv1KiAN7cw6X3S3yBIkYT3Hk9/vuScmZao
OqXocz3R3dWlKkpIIDf2XutfvzEb/Rl3KVp1+ALTKwxj/0mUleAD36DiE71Cp9hlrM0q8qFb21+0
cJLhV97ggOaGDBCjUNdbU/GTd01Ucp7eF4ogxwAKY6Bn+oHoeoCG4gt0QFtnvmlfUIQSGOZESkWa
xuuA6vZcWTomPxbzEbgUWgSgkX2BG0Vby6YjIGa9K0f4yl6mKtukHaTZ7XsjmW8iAqCSZo5StC5f
EMp0Q1OsL2AFEWx2YHIE3IJrANALEcLUWVZgGq0dGoafeRXjrM2QdLWBZq7oBY/NzYm+QB3phu9Q
evCzplpXgjN9QUATYBAGysBCt6ju1fhfYJGJdMXpbhgSskdauyIfRZotmGjM5MGbCEzucACPNWCo
4guSGs0MeMr6gqomYk2rpVnX6HqYCVaP8hespefze36DujB4uu05XwjY9IWGiWMDMkZsFChZ10cg
ZtYXegYyhxg9jRrpUxs0pJPdF9bm83WdW+yQXyJijWlClU1q5KZjkdfts3lm02KYRp0qFeOWO/UL
1OsaXb3KX1Cf+AX7tQTbvJFzK2MHfcMFoy+I0P+CC60IDrmNlTfv5vwFKU5RZa7l3peATrF1eui/
4EflC4qEc27sqW0BKIc6o8MVFJLcmYAE3RIjzuxJ97k/0mbBORNpasMlRrs3+PMLCm2/YFEk/uGd
gBXoY49jHKBQThlANB7q3rMadyLMg6m8BDn2hVj+MYYkfk/XOOOKrJywgkAg9r/F5G95lviS/9N0
5fRav35nBH79lv8uJtW/ZO1W+qkyR6bO//6nmNTlv2D76GQm6vwbgq8gVP3fYlKQrL9kS4KqRx3w
X//yfwYs+F38pYu6YvKHWvwVo4D/pJ78jcYGh0q2SORSmf3AnfhGaKYMM+WBCEePEOhrLsm3gTXt
OgyPP3GP/v5KumGJkoIc6EZy/IVM1Se6JKhx4oHzTYeyE7UTQSEqrHWkvT99B39DPfy7S91GUzLj
I05T/ZskXFYh58ktN4Vr2SnE1tgRJO1S1f4fOHE30vC/S3EocTw8RcEJjP5BN3iGv94SAzJirBIr
hjgjkzrejEwvaDOlLRYxuPnGGKL9843dntFvF9RMOFy3cOH/mpb9REjr0d9GKmaIKBjq9GgVJnh8
XO8FU1EXSWgJthY2zR94nJL55Yn8y2VNUnP5zmA6SgSIf18kfgaJxWqU0CNgxjgJZI19MM31sXrA
QUhBe33tx3I4TDephdI25YrGJN1AwTAOPoi1q9WYpGtlkj1aIKuLGM30pjdE/TSHWKCqGTEG4dTV
8MqEciUxLbrGSIaB08aIiq5JfWfOoIvbWQGpuexTc6OPRfKc4vPjGXIIVkYga8GIPylJie8RJdgT
KedPPqlUCLwT45lwtmwZkpOg2s3QCEezR+Lni776ovLVRTgqY52c1QnWk23XTjuOyvbVKGCnJH3s
0Cwe+sYgNkK2egd/XgvXJqWNeR6GATaqoXBAJLrlQCP7RUp1XNAj4VFSQ/OgGdXgSRnxWLreVZGD
An58yClKl2RbRsdkMGU7LfVorSKsX2li9ioWFRHZ1W0IRrBAAFZZSK810oNrSR8DYjMSykKU5fSD
1Fv4XuJgpgtGNt0SKATNapr1vSvoHeJfK8KD3UkpUI4a8F1r69WYopizgIqIhtiFqQaciF4wcTnh
6ifMCJIL9exwZ4SltDanWHNlYdYbinH5TZ8VLD8iMbcbMCXFnf1I2I1yYJK3JmqgSmb3I9AnwSY3
VroTlPJGsi98LXKmNot3eoFzR5+l/rpG5+nJM5kpfm01mxBrimOc1sEJYo2/lgzCbWyJf7jqMlFA
LJqlMA+KSVsk+HfpzCdHuEyp3G9KkgGuU6ZVOjGX+SABOmXGpo218DmA/SgRAU4XPPcplKEwIYtz
FpUNfOv8VQ4a8kCLNpZ/cGRTvyVZ060GH28niJe1DgZbmyspioDlEcZOHp2g5KpZ0S/FIjpGjTFD
t5+791uS3SYbLfw+RB3MGql8LV1asa0/OlFstrEf6LjL8HBnjaTUqGEy7YDch72dV9RepQx4Fqdt
9VTpfbDW+1hBRk8OZmcJoeEqHcyTtCfEoc8iiCtTP5BxIWkPDBOLE/JdvA+CPHH8ovQfzXaO6d1j
UjPUTNwg1koeNASMBJhX6cskYMdSQdhBh2R+tFJOkZ9HxhNDMcBPvZ3uIisLLnCPdJJHVeveBwog
xFc3lxR+wcYiyWqPX4U5MrySxHtlDkU4kqV/kKSIaSr2xuMV3o3ooqj136MoCI+jlsfOPBnJ1oog
iJKK1zzR0Rkt2RdllXoCH6P5IYRqGXryZGXxqs0nsYDG2beia1C1tD12Bzd/5DpplGoZ9HJVEaig
j9m5F+WYNpOAXvE9t9IhXYAtdv4ynyszX/oa7rq2YilFsQ/pjleJ0ljxfZIoimQH0PneG2pUYzGJ
cM+8IALewyqAtIs9+z7Pe2Z8YEJXbNWXuRL01h1BWowFJqRd6wpwVYaNHpUGE7bAPImkDBqxKGlL
qlU6shpv/sEFDQamzEmNyV5Rfnd3UV+oiatRixke1AZ1T/gUwb3oYbJhE2qDX2xy7KYfKeLUnuGj
Mr7CZNd0GwEV/KtKbsYfnQj4gra4UR5IN7WMTWKE7WdWNtNVmrJQuYsTHyYtTT450EYmz+G6FoRE
dTMjIwUujAH1XSqC9IKZiWkLkX+PH3C9FJGrooJTBcdv2p2GGy/a9oJU28bAr6KtcbrsmdozIiWV
uBg2AVBTxTzIkcg8eoC4WGMzFsefajjNDtNMAigri9xFltPID5YmNC9cJpf0kps6B7hGgixuhU5n
v+B5rIVe+CB9oN9VqlCeIEVKONV2dHmFJq9QhyO7n/prwvIqWtEZAszeRK63lEZK8Da07pquOda6
vvKh2ZZcyxQXWdUsy0DfyMZYuWZO/nPuq9KRLM0H+BtOPodLTiCSIuut0Q5bPRTWWWls0zF9GIbq
SSuqaDn60w+tkl6VHqJbqy6lut8xFr43xbC/5xxaMjlciToTDL1GnYw4nWTpgTQNXybcOQi6dZEX
y1nWAKb0+SGZeG1Ia4GIYcyvaVTviiTZc0rCcqg/cSxaFop6VCGSZWl5Lar0nCtWbpNqvxx0ZRmB
pL107A1QY29Ig4HQGpsLO8kb9dDn/meoDnek7BwNiUVi5edS7g6lIcM5C63HmjQkx2LIg52pny2C
pjmbJeuon1eGWGFbCZdgqgDZ4vDHKGKY0012YH10JZYJlWa54Zw+0Ju2dqr1bJkpbUhCwguRV0S3
5DtNG58j3Vgpqub05IUrN6pmInlpnEHxa1/rnk88S7swmY44SjOPbW5G1RL1ZjnzE9WiqQccXo1j
2wykAIn6IShkzn2l22uqKV9Vo/Y03FerfoTzOySOzuh3X5n+CiiMdSRnK7hvCxQTzIXS6ZmclxLb
kHQzDK2nRiamKRJr2C8E2RnQ2QEeCuqyG6vCDaCpQlojuFgaUNMVZmUbhkYUklU7hZnC/TbkJVNt
CAhTfRJCmlbJ7E2nVNT6CPH1pPQqNoP+qBS7dIZmS2h7usD/cKNiKuQyjmix8U7vIo3SUEzyPZPS
YJmkOQqcaC3O5lZrwte0SN5zRawuoRp4kxFOtirLmxioqL/5JjG5ulqZuZ2qQDnGQpzjTIxjLhfg
5uPcM/wJf1VFXBitwLBxNB8nf/pQS4aslaZ3DqMV/H/CLnXmBn6T3krGWTbi8gDeQkQ3qnlbFOtD
WZLJN1pCd8YS3FpbhfZE980ja6atZcT+Qk/FNWNdcUnafHvp685fFEVFLq7gr6xZHl5lYQz3lTEb
G0SyJz/KV5PIiFqFgLJPBG1dmUKxioZ5XQdw5EdDeFE461fIKHs7M6U9HfQ5HwkgrQlcY6oeEyQm
mrg2lQc0l81TSIfkDHUKDb+RlzCtCY5qErftoidk3c2iHhEtY9PDzwSNM5rjuemjh0IaLgB8W2to
sPaQi5DF7S/LQZYPkiHsMaEhPEkHViva8DpO4kFS+rWSlWdLmTZd1Ox64qpQ+kAQcqFADsuqMPeM
OmfPFPG3qIKtrtarYhyYsmv5YuoIsNdAqCbpM4mGlaFUF6j9D8D0F0VTDkFS74w0PCVW1y/6mVHp
NN98kToS76fxhw4rYsJKRU3MtdXWq2YgfrxSdwKvK0MuzBabZA9/5wCHM16YZnQoeulNGTN37uA3
t3A6IkzkbUkwXyS1ugSTlDkMLo5Axx6UuwVYx7Fu0gTzCwzBw1nY6WJ+187iG+4BN55274bCGLm3
LASW7BBuGgX7kpobD0xmtdM4ghmmhJiEQ4cBJM+Fc2neYTazm2PeddyD2QsLgJso0pSLUbVkEgGb
w8KWVm0CgjvWJklqJePCtuwM2yrle6GR1jmWOZ5YwwzOxH5aWwOh30Itv4smX2Jys8kSVHD6RPhR
pqq4gK+sb4hUEdkUm/u0UK952AkQ8nsksQN5Yo2sWVDmlDo6a/XN7YZxjc0kZWb0h7VLZ/Y/+qDw
nbwv950+CJtoEOA8K7elYj01af4y1rlrNPF8nRm62mS/Iek2OJywqK8W5YAlJQ4Uj1rbT/yRwzMW
LPss5bxBpcazxX6GpL9GWqkzaQkt0pd3uTfeZNQoUyNsp7p49ZFreyO2X2xTnqrzeNMgbRelDmxT
ITJYxCGoff3Fbwj6K6MUDhdYvdw/t6LnhzgqP9Kx2Zqij02cfjNfqhSCrElHxicCi7iRSN69GFuG
rWWNYLdy2mz9viGctwXyJlTvhpNLRb7S4yRfFrMei24uljE1awArukIYoBTTRzZ3pQvDIbzNO2/x
dmWOlr6qli3y/RygOSaEphHHB3yXxw0Yr/aDOM7kjrirQ0PYFdL6OrvOHYo8pEhko4a+vMtQI9Nn
tTrUjNxAnZBRH4tE5r7lAKKBI2eh5GVKYV5xlqcCCOj5bu8iqy4AiAZjKT4k0rt3QhlpD+DVFrSL
sF8iSsGBXM/wb5miBE5OmLSWZ95s8IM+DS/M8vXXREzHVa0qe9KgwsUgmskBpXT0EXeM1lzFavQX
QbcEB8yfYAiIOaHTBn7SQkOx1rkZjsiDGnFaRx18MjseZQwmcBho7EDK5F3oj/GGhEgUHAPs8pz0
o5Nv6v1CH7TxUCPlubZtox0VQh72dWI9E0rFxB8K2YefEvOGw3ZLe6MHuhMkrNHCaotdzS64VCF1
4X6f6Nd6ymNPVDrt0OYCkJ+cjgsfZpZbMnDBEUTrj/A49Yepb2bcusOOJmoqm70+9Ma2iSQUyjEx
2ufSCiDs41LpKD4kJJsktsdoCuUtoyHpDDiAiZgVKskeq7noTggSyl9fFIfKSTQ/WbBijR9QrQqc
wgrzcWQVfhpGV3t9PMhvo6WkOzGZS6fDBmsbZnUE+kvUTGfjt9UgewqGDD097/4G97ZgibuJsapU
v91rfpt6aSR+dE1lLODRtlgchOZdPI7KsbKk6jrMsuBOzUB5lknrUJt9ol/N976WoBCykWya2eKL
HuXaDcWymBiIzt2l1rIbqmHEY7XEQ6rK3fH2TW2gjwoDjJ8gpGrCeVdk3U47MZMV1fzMcQ0yC8/U
WA4nI5SnqduLahVJg1sxVIzxXWtJXG+RMJmD4lVTAoU/HXydzKbUSPHDGgVp39QEoZ/0xJQeWzWD
b3tj/QEdq0VwydRpJ2mIOnX0VmsxDHp4w8QgLpnkMUCaNIVmC0qJ6g+Ipgy98HQ+PYVoqCzgOsgL
SUqrXWnKoQfVpXFJZhC9YqpQhZnp5EnEcy47AqcWkqUPq74TKU/m3quViYCdUHGLocxhVOUGEEys
EsKptMgaZHOnSKqJRsg/VQPVkoRPGZ6b1rgsOPhnB3PQW9ImX1dS9ktuddxADCuXtPzXqR/JbwwG
c+1PGNSikvLidgj2cTM+oy760CMsdyeBgIFeaQWvF0Jlg9JhqdbzBbXHJpEVcROQYYIjLEOnMZha
N50lbTGOeJP1hPdtWijYiIDMYdmlc7oNoV9jUsMgUZgU5cm3MB/gfV4GooaJPbzHBZSsziPOZMJG
Qb3zZYrg6aaIjmKLjkJmHFeiY3Gg4+jbVmZ6oGlCv68zo1z42JCu20IjNzDzZc7KeRQOzIL1wZQW
Y1sIroFBna1p8xuBdqw8RoIOgZ36YpLwB4IQ02VOFupnTVW3tTbpnolbJ5+H0PgJOnrNOqrswioK
tzTFNRmYxo5XeeTANOCtQSqHdBeqx7osD2NERlOoi+0iUEdrU1mDNNmAWPFjU2RQNJsyGNbkur6V
qKYQw7SJB9u+9xozKZZoPlRPbQLSHkUlwyWxeY2mOV/gQIa/RWQKixBB3TqczepYFd2FGazuGnXw
0IuQU4xpSLy6ml7GtlKhBPYMrHCaXPG+G6tg1Jm8VBandS8uigwYos8l5WnK8mrh35weRnACezCV
A1DnxNw6bVy6ysylxei2GpYpjtIkAiUR47oFjCG7oOJwMomFGYiJD2UVUZkRCP6WRu1VlJNPNELb
0GRrxmw9PcTjZO4jyz/i1k07Ucv9swLRcm1NsOTtolegwskkrlUER95rPbsgiWnnshWjnSkQBYo8
wFr0Is400D7EZ4mNeV0mYu2S22ns2eJjR6tMZFkNUAYHQcdAyEgd3OJkBGOGRo48UspUlsanGXjV
a3Rz2oGDZ8d4HCYanTh/E3x/OMMa1aA5WFr8rLV54pWm5K99bt5rGAN6ldyqAyme/MOOif9GFskw
F+tWvFilFt/4/vA8g0wQ782q47AUFN2Lsry75qR7bOnFS6+osZENBOKGiPio4Nnm1hqHawlTyDkG
2IzJdMRnzypvWnnTPwj6KMG+rx4m9FJIGRPF6RWD1anUOBjKcsakP32VMWN0OC5Yb1jezapykIJS
PBIqJLIvWVRlRpXHI+oJjHHcZLKMB5l8bBdqW7AcrVrYKBZyTvJqM0CI4j6B5A8tVMKhLjQcPy5U
ikWotwPCC3dCuWpL2vzEcohXTY0qrx1iDEZjHMFtuacEDXk9bK1npagUyo30kqkkMiqtBOisQAng
fTrpY09WiZmZiy4Br4+lEKqVWeongjyyg1orB8za0saeYdS5DKL1tVBE920q3UsmzN0mD2nkC436
b6o0289rdgmWhFlboq30iaO0+kN1Y14TiUcJMy9I6obina+tLvfUsXw2YnMV+8pJmcwXDJPfKKU0
Sty4X1aD2R7RD76r5awuYrXJPF81aDua5i0MBsx8ymlNqCdNXiW2a6ketBPvXL2fi6Td1RzxqyyW
GrfEYG4VVsHo6SWuv0FkCOKJKNtkMw3RXoumR6WaXgU4a3Rsw3TNZ7G5qAMAR9UGweSkdYY/Uisf
yy6jzESKZsJBlwaEWsO2k7thkWu59eg30/ioKSV9lGIKe+z+910aqTAy0UwEJnmupLNe9d58MCx9
C/8gXaTYkqaJxglXB/AQx+o516fKlf1hWfbjxiAxgaLBBdDdTYZqvlQT52gSiij88Q82uutQQ8cf
TTdL5otepqUDAr/QYqCQSCz25AjL1L64rmlxi84wis5D3bgA4C45w26hsRbjrloPebQ2Ru1gRNaT
VYvbGL1Oqcq4s8SboFJX5pzdjapoLiDGOPiprbqC/dKKzo3Q3aHAu6/zzqkLcwWmuggJY+yAQ6ys
3wRN5KahvkDU89EyIGiI1Jv05pQLs/YiyySDQzRNJQ5bFJWuXAlIAWuvKab5MTay1dxjrB5qhGpP
XkmhnqbCtq54e3NrqxjSIvN7bBV6E+fTEf1MczItZWFp2UMJ+TmM6mcC0vBmpDW+tTZzsMHtFsJW
SfwniSxQ45/7DMO4BEtyAnvKWkbbgsJrM1n6vQ8ZCY2/l6odq2h2raQiih2GaEw4mAHyr8ucb3Cv
bga2dpC9Z0pZHcbMalaDXKD9mzdwT8qnQVE2mVYvw35YqyGneuSP6yBQ3LDAGkAlBxlwd9cW+ZLG
lLXqK7sck00AA2cMG6fnkyZB8VzGtRvEUDWsyM3y8sQ09MkQ2AbNgENb1HeZll/yBgAJgjbQClGB
uLcvjEJiKiDxZXRObOi70WiWoU70RJeeFKXESTYOHbjPntGaC8FK8h2Pcm9p/l3b1lQZP5RB3jVR
tMBk9aQO6rZCtOA2KXQVPz1NJjSbeeQPAX2m2bHkHk/tYBcQPkREdnbFq3WfTqBfnOhKK7tzld0S
jETcJwflHIRwZGbrBedgTCxx6ePwAB8VVqMce4oyy5B7xx1s7H1jluwX5l7oyi3qezfVeJeFYp37
tP0d75g1Mvizy6GrMVHIzmUa7JQ+fhma7jQFecQIod3I8eyEkmZeANYnyoDULfyu9XRN33cdJB5B
uAGYqL7zoh/PSiIDa0MYUOc2PnHgn1O93deUlLOYACDIQGvcfdJjhKtZ7RaP6Ashvkj3jX5bpg3W
wQCxxAYvI+SzpSptx6xD+jaQJAfsdELgtVOJSHL0YLhAh72Gqe8asUzUObbdudIMXoeo2G4tdlMf
dbodkpmwaCNxFYUYLiusK3pbT4/VF8X0yXtPuudC7R5qla0TQu7sJo2xVeXJgItWv4tDx+nSfY7h
uEZ2vFYxOxjz6Lm/GUho1b2s5SbIe/eSKv12TkxrzSziTmXXKpkNMuPEIDB8m/ppE/aYE8f6abLi
VWD6bJcMe27KXrf2rYUh1ZdBA1TALYME62jcVqq01pJs6VvavTkLR8xF8GUXZnQLgXrtorxxfGxM
oZ7vhz77iAn4Gyt5WY7C0dLDVwtGlgPusvZVGr9bK1dw64NQHOlNXEVMtloabn1rvCR6delEhnmh
1mzysjlw/r0UEem/umTep0E4LjO5pX4yCLlmKuhkc3406mRXY8i69IX5kQm2PWTjFivbI0baM32F
L+4w+o6uUkAfLnTxeMAOwScEtAioNHq5u85RdpfEw4jIGpgkEYVgQhZV03ah1l8bqKfhSifTbpBE
2EDWfChrsr3MhveC9yNdN1NlLINRNTESVspVWxnS/XSbC4pBCEIvme1kG3JrrdMRHZzc5QA+Zk0e
70A5+ySQpTez6Kx5G4mKtIcP1TpJ26TVoiCf2pPq+lYCmfqCQTJD5CpNVkmbhteMSMy3RJHjUzpV
oD6JNVVoSHzRRTstX/op0k6KEWJAPEVWgPA9ET/63gKJwfqwYyPyYZsHPsGElRi+peHo1ys/giGA
X0nQPQtDNXFCDsVwIsa8HHBxNjsOKzLkideO3giXIPg7y+tzxfRwVSSycVUia37UBY2wi6w3D4JV
SZB2UzpmKwpmt+lV0cPKeDwBHSrPvhCKLwNI8gpGFbwqDT9L/NFF34kZw6VeFFgVU542W/hGNFwq
vhlvorzx/BIVEVrP3subIHq1KgMPm2buXH1sR4epukI9Tq6tHrcwhbtRWTBOgAVc+NYFl3BCwsWG
vjGluIiQZ8rKQgIlYWPvhz1SFMy+Jw0fFzOXh4c090cSDnpj02uD+RoSbreAszbeBUmHx4qJo+eg
puM9ClhYjZDvAghkbgGtE7HNwAEgWWK5auS825i3BIMhat7jMHwxWq09RqAHngSh/q7LVLGz1aLp
CQpPivU0d8m11gBWyyEClAFXdedakhyj0HIcTMqrCNGQJ5EGDCUBUDVjfsuZDWLRb1nDehQanGGa
lv1HnI2FYVbltirqnBeIra0KRFctpEMB5r4Ygd0uljgn26jVlhATzoyGlAu2IdTBZFY3ngirxx3N
PPd6qu3HsRnJlMEK25ObNiduQeP814IUQD2aeq8FQnVlBaipVwAbKqjCe78whAMJnlBajR4io61F
I8hF0adHeRoYmeVqsFXrceDsGPzbaQLjwsb1uztEaF6cTpPirR+q8VksjJeqlqsF+E+zCBI9XVI7
WWiftAwT7YKDvcOg4CD2RhGxAhqGTQkBlBv8yK2r1SZYQzdd0bzPkk9MQtDV2aIyhu5olmJGu6bj
rd/NcrfsMQui6Kd8o8U31OWsNnVLWQCJz64xAuBdAz7Z+/WobhoMOTdqUqZopqqZIHY9LJN+kY1j
vOoYgN7oyrFP7S/X6h0MP7l0tVFBWWKJIABo2axjlnVIaMtJmKgY2+kwJtizoJ5on6RGylZJH4Wu
pSFdGdtW2yOgKfgzBf2AZZbhaqjteKZThoYjLmT7X3MOY6fsJKAES54QYpqBKPvs1z6tRJH60pOl
x3r4hLkSVj1jyGTLNTDdUNb/anGnkSpGkV7QQ7BivEGiCLOxthIPemVgkfCvJEviRlcAKsrYYp4V
RlwLJ6S8Gx3iGMOHwFfoib+4Qv8r9fhJ6iGr8NX+33Z9Dx/5x9x9pK8/az2+fs9/0/Osv0xR12/u
AsQIkAvxb62HofylqAaOAxZEK83UfjLsk7S/sD/jz8FND1oUmN//sPNEOH2mzu+x0C6ZuowfwH/C
zpN/ZbJpmq6hldDxWJA1lCdUZr8yzETkxJlQTL77cEQcaL+/RPYpso+BfQjtw+ljeb/5fHrfXH96
SH9Dn1O/SUx+u+o3qt6M54uWkVLlvlT2w7mw72Ai2U/84u1jx+q//fpj6T0/vh62D4fd6/3n9X77
fh7sP32OX9huv9/8N+874NZRmBNuvigeJPGtDs//fJ/Wr/y93y/wjfwoj2ora7f7LOynh3NmF/bL
w9PD9u2Dbcl+4r8vmT3bd2/Hy/r4crcO7PXFPq0vl/XucLnsnIO3W17Wy8tlc/s7b7Pxti/Xw87Z
XDfO8/XgXK/b49nZfG6vh83Z3W4///D5NRiiP9EBf/v833mOps7mLnR8/v3L/um8We1fji/bp6fl
8m67fwpsb3fZecvNzrtcjpfj4nj7iJvz9by9eofNH/zrvozj/s0R/P2zIKj6md5ZAE+XDdUUz/Lt
tmx4lm9vdx+nwL7Dg5HHePm4i3iWtCb8LeoG+7L8uPvg8d6Nt9X8yE8+lvbpObQ/X58Pn+/Pr+fQ
3ryeWV3Pp09W1/n6+fD5jgcX/3k4fz5UvBBP593u+fV9+3kN7fP7H56v8ivd8vd7uj3/n+iWWBvI
ugYrx3UXe3e1d2//v7Btb71YLB3bsT2HX9grd/Unm77bw/qnh6n8emFUUGNK2+y73CHL8Pz+uX07
Ztzv2+UjsC8HnlVu7543D6+n18MfvsnbW/VP1/5Gam0HlYps4qYFfVXpj5H4EiSniMKcCa1diA//
/A5+GdZ/vxx+qboBmVZSzO+JWSRddyn2Sb47l9U+GnZdo6wyc2AQ8lkZmYcQ8mUeXyNB8fL+ovaP
qkp6rLoR5tcpuR8oK7u7QIkO//yp/nbfBXPVVAMPURHJ/K9fADk8uWgwmWQ1373h6G1fIvvt7fS6
O70+nw7vV9F+eP/T6yz93bb780W/Lbc5rCvmgly0ERnPao8GkpyENnq6mlZg1y0CJnMrtX8gMf92
xMAmxhjPkhTpdqSZ3zbBCTsMzFgrxPNV0LiIWWeCm7IhcKe2n3/883P9fi3DYCp2o0pzRsoYD31b
W3U/tHXRQhglMajfN8OkvPbqIF/qOMpO/x+X0iUY9hzsGua6v36DOLNGotXHpptW7XzV5qCNnQn7
RwgLc3b/z9e6feyf1/DttjRR5kFa2M1SLPx6LaPo8k6tDcNlIqsdrUbzPVIR0z8syr+7is57gl+F
QmEhftsU+hpSC06xBmVtR0D4YBjLHIak+8/38tsqvN2MblL6qDe5AmbBv95MqUUQpick1XIz6osQ
AvzjMKeB4uRo9TdRhhrQLvw2dqvEhB2MivZHnFNQ/4HD/7d3i5zWhHvO+F7/drdGFyJVKsByYDvq
WGkC7A7N3Dr/fLe/XcUUNRjtlHeyqBt4vf56s40WEpnqd4rbNXW0TMwZ8RYys+V/ehUVFgZOVfix
oheQvr3YAdj+EOoGRKcKkX6NBgoDESv4wzf328uFL69En4jXjmRYyvegDh2Pgli7oecQoa1NWEmW
07UKRoVB9CfP/5s25dcV/+1a394ui8iFDI/T0Z3qmDikBFqV4VRNu+o6fx0bjZcK2WOBaVDVGw7h
OyvWmSdU+kIau5XE0JnhsKeN86uiqy42vIxnemT9inQ/xv/pRnD7qChONIu6FnLgt48qSr4C+4CP
quRxsWhN5UkxGeFEMYye//xrJpZKFRVeHYvu4dfFlLRmlioF4k5fyegDNVXcCZpi/GHJfi9aDe6H
xUpDwL0gMbkt6Z+KksJnzD1WmExGZm+AhkbDIh16+aBPsOZLMjLX/3xXv33XaIzocf4Pd2e2G0e2
pedXEfrGV1GIeQDcBiojB86kSGqgbgJJMhXztGMOw5d+Mr+Yv0iJ1cykihSLRPex1UAfSGTtKfaw
9tprfb+skb0uWwZclt0Kw1oio0cRw1w5ERfGefM5OxVfnXudh+dZ/QVByc/DxXgWrMfv4YVz5C2A
G7xgkmyJ3Y832P0m7PW568tESjqakH/WruRL61w/y7+bK/9I+9jhRbqweXn9JF9E+F8OqwPtXLvW
X9h890d9vwV7u2IbaETNTNnLfhmR1I1Era8vVaM7yglIeX7Ap8487iyhvJpGnpQDTQDLY1/BQoqM
Qq6rupsrLTGtij2KKyDC8tcXavlFNTxas0g1Zio7/d6Y+oXmKYQgD3M9SA9xd3XzoVW+2jxFgMwl
OUHg/Y2JwfikKd2qJ3GmcT5ZKQGShQf/wh5nFiGrTvl17JaNAWQlOE5Ed5Dq1TyVTlUifxUZ7wqB
qVq0dghkHZBq6m4U5aaH9OYVh8owrEb5XuUDytIXi7RnNGUWFm7lOLzP6wKobLI0eKt65cHC8JqK
bOom9o5t2Vvi4OP1E+lOMnp0N81H57aPff1bniaLF0b36TfEptI1g/1YtXRjMrIfVRIpJhloeOrm
+pDKyIa2Hwn86Y/+SSWc16R3mZO3YbcSwitEJelVNydmYJg5AB1mSW1H/6ArjJcy+TQUvCV7pjDq
zoZnqVFHzF+lnRiWPkDpbuwXdpn9qxZfBQ6lyQ5jqxqOwGn9PRowYjdNJSjbbt7H8SRgmOB7hAh+
2pNjs8rJNnLjoVdPnx/A/avOtlKLmCW2N9aAtbeoPT/NE6Lsu3lb2fmRJcS6JD05dMdEIuqE6L54
ppA3NE+8Rnn9LLQVC6sbYCU28XbTfdRfQ0ulLI0zRtXQiFuGADDHr6u+sHH+Yo3b7CUkktLJ6SKz
N6ooAMmjkFqyu3xrGRlJc6Rw6r6gqaLsb47TOOqTO4zbEnH4+1IPUoLadV6l3TzSVY24YYBzJcqv
F2032EexN0ktx326rNAm5Vc0ZVF1eXWDOP2B3qKiBmbfmkVJel101gJk+QuCYlvzam9DtcmzxT7H
Qocmuje3fLXBOcxpOVeg7PMGU4vs1uiV4lyE+bQXxd6lieTtwcj9lIu14lcfq54nbFc2ExWM9qhm
d89PvGli7bUIfIzBToR1S6v2bBJeLE1CfEiQx5FOzMagEbXC09MyabqXlu+vqgKAxu2abGNcnHub
RKA43eTfb+aN5FcEwMIe+xjpiDIif+hV7QubxdTw3Y6xD1mkwzrMB+z2vc3CKGy/UPS2mbehTUyO
p/azGm4ZLnrY3QTNhSejJh8QMXtZyHL/gmX0pKuKLNtTVqzJ/0zLane2k6IkbLKjILJC6PcByiWc
QrxOJ2iUo8OsvNDXJ7OeVaXCh5BJMFaodO8Alcnz1JJBJrI4Ks8Tqf5aaCDMPWv4xou9/MJ+8WSr
gtGrGCq6Mfx/0rX3bEsJiBWx8lY89yKrXsgDgYhZMzaHZl21lxWR7hxnXbICLmsvn5+rT3bmbc2T
/cPwstD3ak4kshNE5cRzwICEoUrFiWgK34W2+40st4Msz/wXvuOTXYsaMdjhCDvskKSK737HUKt6
/Oom22IpZLdANphn6TyZP9+vvc9nTvd1ExOAJajxf/sqMSmJQkltjQC7lcjQTlI7TKpLGB69Niku
k2SUB31cvHDi7E1RKoXIwoyZ6kSOYN+2ywxoFXYtEIUriuouJBZzBeOclyuydbX18x3cG8apLgNd
IdwRnGygqfY2mZZLiAe5Np3Xdah89KLCm0Chxes+1rYWsr51TTUxeHCA7H4sbwS6X5CtNddItF6N
ShCtBei7144b88GRHawLy1DYM/eWdtiXvpmPjBsPZ0TupVqVfSEKskiWjSirF2z9/esGTg8ZXwDH
JrNMpkt7E3DgOTMpWzKiQtJk7EOr0PGEZL5GfIctjET/KBMrgGhFVg6jeV50IrsZC/hP5Mg1Q7RA
8ZFwIDUkmu1birjhLYHyWbSxM2BOEKeybhGQBYDGsR6q6PT1ZANUx+2oVsh2RbHz8ZXTgM7YvB3x
jXhJUvaNnJKoFDRf6Iw2Rg4YStK34dl7L1gaT1aTxtbEnRf0t8XCfWIlDk7ZAqtCTN5BV2GW6nVP
agcXGNut5VL6pnD6GK+zf/lMCiw2Z0JKgEJ70rNasltQTlk6xyVXLroIOWCeyfMXJrii7Z5p22pM
ha7ByeB2vy+5GhP8Ac2GxIiyJ4SZMF//DCAyWVNtOR4pnV1clciyA+MP/WXV9MGitqt+ppDptLLK
yj8gC1j58tpvOtnKGP26qbIl23t2XWrXephGREo7pKoehJHRLSNJaC/0/MkGwvjivsN21KZDVZ0G
5pGNSqx1mKYltUTCCK9Qjgwuuogo2tf3he1jcmboMmiOvW1Kqgi11oSOfG+oEtLTSM2KsOLsH8wV
LAJVhZ1nqliru32Jg9yQksJJsLJbkuX6Tp2j2TH8k77QExxNVGRsfauPRmwEjVFiRSasaSX5nmty
tyB3CgjX80O2dyRvZyTUEZ0vg/+H6+VuZzg30VmfqkmqXPqILC/hheFIjlYd1Cv8cvGhFRJ19Hyl
T44uZgPHFu4CzDu6tjeCY1gDYePMnNu2B+A17uUDPSY2G2mZ9Pr5qp5OPDYQbEjsHXrJLN/tX4z0
hKE6fTDHm8rFSMnILY7GJC7mz9fztEvMBVLaFYxr3eBg2a2HdFYdMR4csRlxMV+LjktACXAkVM2F
Y9Sqtnm+uqefTcV9Dx5OwxlJsPxetxJFmBXHNdXlhEcJdgljOXQDATcFaemrmGSKA5lPu3pttdM6
1pXpLQRntzxt3Y8mZURuGHJLCQG8MsSJhalA4VsZ5RRP2IjBmCnsWdHcT1Pxgud17zLANJ2mDLMR
yAKepu3z9aOKe6G0dS8HEjtl5x0HuZUexpZPEms/DK6fQQCTklg6KxUtmkNU717o99MjCQ+PTLiY
g4sENqe622+iOkRPALXnWmiEtSRyj8HEt1QiiBKphkO4UO1WeWFKTd/w0QVo22duWzCdiBixnX0V
a7uVodaZnueCn5AWUhMTXxlF/Qu1PJ24dI26VIWoV5Uptds1J6ojJAdVj3SgduxOAJ7in6sDQkXm
JJsRVPz8DHpSHVaXKluYq9TF893eceM3vW40RLKSwTjKZI5FnxNN1g/UEljK8zU9GT7mCRwlC4ck
D2qKvPfNpKpphID4TipoAMl05D3GU+LuheF7shCnWibYFWYDj2n73jnfz0uw2igKwJnMLlXCNL+V
GBM3CtGcU074MIkW6Ob18317MorUygm3vZqyIvZHkRdJRxMNeL/Y67OjDDm2WdUqMRkKwl8+X9W0
ce3MQgaPhc7849ZGePE0zI9WngmnSB/RZnID1RJkX6h9+9GEjR8OsyjWZP+UGy0henVU+2Rcai3k
ltca7Fw6Jm8QjmVKgtS/24Kk0gVvVYnhAmknrrzQMtL4CcH8nJe2/tqLzlTXxD2c7nEsh70NbiBI
Oc1tUqyDqCmOmljKT1U9fOm++IvPZ7GedZuhoV/7UzMa2iyV8CMSLyvH5ULSJejrPl5d2S2nWOkX
VsLT6qYVTtCXyrnEy8ueJ6XXBW/WnI7E9prtcRSrBI1nvXJupQiTPz9bflnV5Kzh9R/3nbW3m/ix
lgUJnBs3haQzzFuj1G+GUiJtpETS4QUz4ukKp1+PKtubmkpYxMS1D7rrd223LNSsm5FNl76w9/+q
SzjesVd4mGfZTT9/tADYhAd1UFsdHKRFRl5UC+vSDywyWIVt1P9g/Cw2ZAuDhZv9NszsUWWwOHmd
bhi/QPOMpV4nMiqeunSiInX4Qr+enGmIdk5vNaYxPS3wCrjbr9EbSPSNqEqxmupjMGr2fLRjGThF
MoDIytIXlvEvvhbeChm/kwpKxpD3xrFxWqGFeaWTClpb120q+weOlebz5yfgL2sBp8eGhe/uiYO2
Upwi7xAic0PodudZlKiHaRNFr70IT2OHt5+neHziXO93x64PalJTrYRpbsE5iSsSCpRuHF6YDL/4
QroGQg8JFl5FsQN2a6HosdIzmSTd2rfu+YLFojFJkIjLivdS1PXaFwZv+gS7ez3TG8enjP+Fq4ex
VyGkRiHxmEB8hoQMpyuPFVJHHR7IDW51Hkaf/1RPj05FJ1BC1hlJ9or9F4WwTSyj9KmNeGyHcPGA
KP6M0O9TvytIsjOd87aT/RccMlzrp17s9BKSKo4FzhQVQxIS4e6w1m00qiM6OTiwy/q6UODjHdRa
WJ8QzqORSVcYoBcytZJutCxPTlF56vD0D4W9SKUxspaxk5EaauV1eOlH2uDMKl3pCTaLdKLKhWGj
C6L56VVceKU2MyGQI2Jigi1cYqLWhYuIbHDlsRTAOtZ1fmwXyGW6PlHiiDCbJlS+RurVT2ppVDcp
Mr4kAvkFEpRNnatL3xo9ImlqXb+DgpSfxoU+2gC+rShHi4l8mbnuFzHvn41Vt+Rb58M1yTrKoQim
CIscAZYjOZKtjSM5oFFSzatXcelFJyRy+vgPNc/x3aAyonNCWdLM9csuORDIDvgLYtDN21zHmTVr
GlzFM9QY8hOEI1E2CcJSgn4mLBWuVRT5N4jHF8ix+qjxzCo50o4HE5D6EQrINp6wtrURS0SN40sc
wAFjjLzmmstufNO0tZfMUo7HeObDibhs8iIayPbluJ9h5IVfDdDLqKSqZj4slbGv7n1FQtXD6Kr4
2rETbTjMstqGTjVmH4logkOWIhp53Wp5SPJEUofHTWFauRu1VitmZcXjReJPPFtVIfERWcoabJBc
lNKFUY3RV1/BgnPrILebRWmSa+BakUFKqmTD6gGTK6FuVZlpubLAeBQEhGndiJKaj2CIPhbdAZAs
0c/sQNc6dESC8GZQzOCG/GGYB6LqVeNQmqDH84Zoi01F7NcJdj6DNlTAqGSj7AVQjNE/Idu6Thda
ZNnrCKS3Oot930rdmru15kIlRTK11pP61kIuDo5AGOtfWjGIdTdUxinJjOa3knd06zgng7uDemyV
JPE2YPxTxyTFESnm6tL3AFW4qu6VCFAhFQ673bTInEDAdIREMbSpvWirQjs0wjGQ5oiKTS/3siZI
+I+pzNViWzusUNW8jdU+uXDACt43QeJ8QVA86t0RB++xX4j0m1Lo1Rfe7aRPIbzsOz8jAA1yW25H
rokdXS4sq5UPg1DHEDPDVh8WepPpPO5rjda7WdDK5zUoe9OtDE25JserNQBlO/UFZKbCcjHwSNki
/6niOhyYybHGBPoekKjhzXtfqqBLg8fja8Waf9Wyw1+3gzN8hfLWwHKqGigi8Ga6Ypbodt25gVWq
C8RjjHTJzdiPljlvsfDu24D8cVzN3XIYpWrlqIM0xZrGqApqXVPUbqfr4+c0actjn5tyuABjqd8P
VguexgI1Fx+YTluCyugNzxXYbmCWAarBmPEFcp2BMzZHMq6yL3jKRmOZtZp0WgKa+CaRB18fEimR
HcteWIB2MrX6Y2jbib6svNo/jMcyiuY8PNpgkYBAxUuJWKL2sFOxKJZjNSanldUaGzQe+kuzzEaT
3JVWILjOEKDendZCnoM0Sq6lEkEDqdX1c7WrEO32h7T1JyWC2nTrJLS/jUpfnqUIqZExA/HAWfBC
mhvLVCjpUav1veUWlTQ4ixBJInuuWVvCHoB7MQtzlH/nCo4Sgh2xQxg7ozVu29HvoEBFY/+ZQ8i0
Vk01kBHdK1LWLxVJNZARV9M+W/Z2HF2QYGPL864xjOtGgUgzL7QhQBqnFs1ZNabou7Rod8VuoVq+
7saxVJGUyqJX3K4YeaHt0lKREYipofYBR7knDcsm8wgxgJsGXOzFqBX+xxz2wTcVJ8N3QEYlu0af
NHgXlTSZM3Fi2MAJWE831L1sE4YlWXwiH5PgvJSJhuW9aRiuokkLg7DnyL8jqSz9DmvKRrgIo7w9
UIZJ0rwPTId+1+1ntW6qI99AchpMeh9d62VlrjHgy3AJ2aw7I9ZA+e71aXYugXnoF/Yw5OuuZFHP
mrjSbh2y8PqDhht1MYtRFvwGiw8VMLDjU6okLoV5qIG4P6rDsLnTPDjKiE1K/S2RUb28dBjvUwMO
gsfQpcxak2jqpZkSGLDwekGZii8B2bIlp4tXahq2H4PIkz7yKiutB3nszqb79rcuhwc1q1NN+Zyh
qNzwkBo2vGSY6HaREN3j+w2MnlcQfSx5a0wgkBxpWdrcYUzV113fMNlMO2uvZDitd2ikcSL0HQi2
mZMo5do324GtMfI4SQzQSBzNGRlgZIEHGfJI5Ky53I+9z+UPGSvUeDmHV3Udpx81GV4hCJtKy+ZF
nxSRG6MWcCH0qr5vkSU77HvEsgIRe4nbZHw45tukpzWluF9zsJm3YIvQ2xKV0n/2Wy26KbZ6XBon
UeZak0yX1Avzm7PV7vLjAlFlbavpZWhS+02JUcpCunES/Wp10tyId0hO4q0qWGB1yL4PeScYna1y
GFIO8ad4qyfm1BLaYohPojMml+x8CEaTskzyKEpkhUdLZ6CKUCgzEmBWNHdSLuuCiSwh92gXzgeM
WXWJ3AWQBdsaUT0DqAiZyAlbNVjqZkE+HPu78dmzR2M4MKVmossTOrjwpSAH80s830go/6S55nWe
r820SYpN26qyCTvIJ35lalWI8k7ybdqk5FZtRd1qP3DEvMlaOqBvhd+GcBKB07eCcFnpNJ/6SSWu
4l1YzCXfVjSGpXJ6ZF3QlEPHQf1SlujM6e0QfcPrJs6lChW6ftKjkwIFdXV8LsjUEfHuKSvO/ei0
zCSYfShex9JMTBp33lbuTlUbxLI9cvoQBAsnLtlYFBDFeKGV562QCgNLoIsjpDzR0mvqRL0taiVH
7isWUcXA9zabDgp8MlHFpDPWaAKszLjtmIek+BFAuRXvIypM8ex5iMEH9ZeHgjq8U51Yt8i2L2Np
Gbd5nt843L/CucT5ks/hQhlXoO18B81MH1W8gXx7ECAhY7+qs9bfdLYMjykaEaNcSk2afsXsJKOJ
C0Iyrqo6ZsUoaBsqEKfz0DvoAR+y7CA5VYDzmgAknKYXwCdVW9xFrSE3S94Yk9HlWALYEqQRLM8w
TKXoqMW7rM9BdThkKCIaklo4JqrEOMJJWtHpJJKj44b8X9I+MxLig8YNwQs4lzZ4SCiDXZ1ZX/sy
9a+tuBedi2tYxD4sHmH6h7zfSONnWxKleV7znjgeFlk5JkdWlhB1GocN1oUbOraaHEuJmSNE3cBQ
XMGdGuKPgRZAxojAT8x9DRW0oxZbWz0yUiOu73USrhNwz0KK0ZHEK5gsmjxtUMsgQXhYdY0dEm/I
A6DjLSQ5lP150BYtVM2YLJUbBPgKrz/gEaksYL5q3uAcEeyTVidCGTD82E705irBvmmO+xYk1EcN
zgNq4iGhPWJB2Vq0HHJUaz4BDCK0rTNa2zno2CL0Sw2Tx3M73h+jqxz5sfST3akxGmCKJcf+F6ux
0byordCWv0YZTD+ZdQIAhcPT4MrAbxr2YaWXYFWyNIBZC9mcQJ8YuCbAFM5RBaRGDDIWIy0FJ8Nh
YCxDi+NyJVL26WuySklvbkY4UUdWWIkWLGlNuvpQhlb7SVHicbzQAzyACB8lfUH4X0dMfggcKbOC
dmN7HlAMsIBdtiw1KYXm19WB9NkCeJ6cAynAkQTJqTHGOdKZnoyQ2zDxjhogJt/qgvdv9Hg6ri0k
UetNHUCm8gWKjNDKFn5D8ME1akgwhsn41qRVICB/n0IiLfQSMZRWYjcAH/y1auDyYSUESrzUvFFg
6ZnGdCGr6okbU/Q+FfP5wsMCXjjmlGN5pYKsblRXZ4WctWyuJHiQ3d9CsxqPaw8fwncHmddkoYFM
U9cm+nv2aW6mdXtZ2ImhrWqB6gdWY1W2n8mlsKbjv0uT4cug1C2yLTDpPHEODIHniFkpIZ3lZkkg
uPI5YV7fyzEEqUOQx0aCR8IISPsmTtDNci05zNuwHQ/VSDKQ5WuVKh1gZJZZsgyDII5OnCoIoXd0
kdVeKHKPJldt6s2N1ZLKcK4JHgVmmhByc08ih5EtbKNtv/SRyhZtW51eznVbpHADk9G55AFMyRYa
tLTcDQbCjxelDLZp1ZSBAvRIry1uFI5uCHk59qJHtQX2hB0sIuGVBSYdRDfrO3nkinfWVxLmXTuM
2ievb8MO1Ubsm2UDMQ3YnJpa2rxWIZgd43AnxQKxXfBNIDah5VRl1KrXNR8xW8LJTlGIAjQr3ypO
opsHFkQ3Ddp1XVsgjss+Tz4Ola2IGRy1Oj2NI9sLT6FHED00gOci113qxuKKdwrIP42kGbAs2iKq
P3V6nkVg86ESwBAJSqGsHILUwkO/idnnQq3TpGXdieK7h3TQV8Uax3zmSaKxDk00pFJEfFWgUK3f
+ZeOE8DU9uFaCbeUtS459qUyzl1Y+GSxNfi8j3hu1moXRgzXKDxpknJRZTxKzRS1585a2CFIRzkD
2TdvTKwj/oUuHiZ1zmpNBh9UQeBEJkYGKp4hfOB+aG/7Ic6ci5gYQ+82HJUsANubaPZx1Q52/KWP
cWqA2ZKH7CTQ4JGetTR8PJN0tetO07wyuH06iYARhU2rJ0AaiRE9KOSe+V91hW5eBKlhwXzpo16z
sO1GP/0MkUUqvo1R2W/CvjNgJGUe9Vzacs3OlYZ4xRcpGkNHli0Q8MRBadjDp4b09fL7APAt9g9C
tEWVC1NO0s9Ky3RZ9I3sXehFxl09bDJv0RQReRsMWPTdZ0k5yLNFtrYMsr4QM9DjTTin6/YxIlh2
fQxNiet7ojn6EdzLyJnFvdGcmIYwWApVZmeL0giAEBOGon6vO/QL5jgYOBmquCjvjNa3uYhVVn8R
WUTSsXoSoBq5GXvo4lZgZJaUR5SdKvnGV664+bgamz75hIZ9MC7SwdZT1y7LypvpRq2fDJGfa4u8
zdVqVU35TjMuIEmzqiQWDwExiEcsRBtb30cRrSBg5MWqMYv2JG8mnELhwNrmbE672ah0XrWAKFgi
ghZH8bGVhSIEHOLE3SJUi3KhlK18q1VhBqw8mta5kEtEI+3IcsIlr6/DPCRl65ovghcBs8G7rOHd
ZaBbOlW4UTm0d+iwm/e95WeJK7X9eFnU6YCPTVbKU0vAh3BBKxtfahFBCbQMgv/KPlVGtw7VcA0J
L6+WZdj29oo7ZVacCUkuTH8Wyr3sI6McDvcWQn1s5lroAa6T0AZaG2NqnKiO142u0wNXWBhy1F7h
ISmVBSqB4ioBSwg5Xh3D3u2Uovk8SlpCiG9HKPG8I4DuRtiOBYC1A+3sglitIONohfwd8bdBX/QK
bxbu0Mn1iCSmgttVElGx4cMl1gy2MRqApJr53+DzSTgGdAGUmqT76KsSppDKgcBwePpOkX3LKyXW
lkUrDd5MNVvppsvGSEKYKY8VWMJGoyqLQfOxQiIuiY1bVZmizNq+VRjivtLxYGd5cWtpUZ5CF/KC
hdP06aZSw4o7bN58VTr4RW7IfZ0GaxKGecCV4RN5fF08syucofMK6AaaGr0ZXsuhgLJb17ptuOrQ
fg8yHDzIF8InQdXL1++FNqG3EubOueb1RDCaWMZ4L+06juFrZM3xoBvKvWRETT/rHKu5VjoCy/p4
0LAvStx9ByiJg6k1mrRQjtSkC8BNdX5+n9Ux4nAiF+HXrMaHxH0Ho38uRfKYYcXrQw4yxmlvPDtW
ypibAvaGHhLljObJrElU63jUhFbMes8HguNrCr4zNpaaC3Dq5De9qogcsigafQi5Juj6SloNfzRO
U3MEXyax2So9Vi2gMt9W2Wc7A2emGDrhkgAVIss7Dt5935Ts562nO5PuciQVM8ewtQuMIaxZZGt7
pMxaudqUYU/Nep76qRvanNsExQkiMupa8eNDRBYkGwpqGJkLUXjhdyltVCCEdmR87WMnrOZe2pQs
9rjppDkSdziIy7IVwRlaBcjkeGxp3WloJwm7T2ojJR2LQsXuioviBFsRKY4A8A4SI3I1ftG1kpdY
axBN6wIOZZEgtFI2c58UsgkV1Vsbv/E6iGrsqeoBtMZYA8IiSG0L/bxaD2PV42tsC1i/tV4DuESJ
uIJfx+Ma3EUZ3WM3wNOCR8bQk6tCTob0TJICO16ogRN+YzImg2tz5Cpzk0vRSguKqDlsSxMiqo2j
H+EVTneD+FRUYucWam/+qnPyYlx4nu2JZVPpEAp5VMyMuV/3RTWLtBKVT9zq4JrtzMFl0fQiD7Bg
odk4IlVloKy10BGsATQ1b3hKyxaSBK9pbjm1Cdoo1gNxIHmZ7hxC8jY2TQgAaAFnuyf6zPb9y65W
e6D0KXCupizmFE9MIxCbijRRRyQKvFhjUOdyq6RiUSCgM0xihMKbq6XeenM7Hk150RpD+D1tSxS+
+37UgsOEdD5Io9xW2v5KeDHCxy1hfriNKsR4PJsbjEvIo7yxUy/hno+5eFygQFqttBEQNRrKWI7z
WlPby7qxtE8sD5Bbgldi+Gq5YsxSKWnOSGvFjyGlccsDlwQj14gKf650IcsHr9enSM0RKw0jW77x
yI4KF04+4BIKNEKuXNREkmQVKj3/dR9lcFmNMcITruSW0YO8CWVpbicerl28JdKViNLQ53DP5TvF
C02UN/DMBIdjVyf9KuT1w56pbVac9xleACjkOES4MTQDuAO1dY4joGPjcdphkLtcfuXsoKiN1Ie6
nrNX+XZlf7ILR+L4w54K5yPRiLV/ycNGkF4IbhtnoYX1P7egAIJTHvK7AvVz303rMvmO0Pl4bfBK
Nc4mXREF31qYnIRxqxBT1utTqr0BT79tSGxGOjA7sDzbCDnQGGR8SkN13jfNCMUsGzCQ5D6IjwVS
Ps4itU3MXqO3jtg5x6+lQeYcwioFqdLYeF27wqUqHdS9hl5CDg8UxxWqr8GP2L9XkXDOi012hebO
pj5dF/99+k/v8gKBJT+ot+q7//G383YjCHzafOAXqw/LJrtf12Ge7f83O0Wg4PuzNfN1vd75y4JN
uB4+NhsxXPIYkFDdo1998tO/tICngi5yAneu83/2Sw+iwr8u6CdE53ooNv/+b3ckqNdT+5A4zR6z
ctACe/Q8+FdJ2948V0LCkNXNPUVL5h8ckbz322SfbP/w7JqQE/Dwc8v4A402IjOJidv+4ecQfR6N
0d+NwvMdfBjsH8rKfzV9ZzSf68Jm+90O7//930yeeHcYQ9sGvWYMlD80zbHI3d/vu/OHRmLSpP33
Y2x49fzX6vv0Dvumvut/yHxVhVCrvc+u/uHINj7B6Q15+vNjkP+FPrvy1q5Lmv4HM59HeXJ4t39Y
TI+nvsnPzSlICszC9g9j9K/1+Scay5s+v6TIzP3pzxQv9bjzhvbHj0lPMMH2z4+qfmsC/MYv/bWP
ukGY3G930HBTPdqGX/yFh+3laQE/t41pb1C5MP+Hnvv2V6ct9UfhP7aQ6e//Y2eH3W5uj344qb8/
+uvO71ZPfvln5x/X9fifdrr6yz48/ONBuBFrcYcPebvV/ezV2Tpl23bX2fp+/fgomHIU/6ORT86M
v2bJc6WuOH+zZJ3dPxQ1DeG0M7y14NNNH97lD+VMpRL4+PDXX55xv9XeqzXn74cLxglzgGZ/OA1L
cHK7Z6Q6bV1v7cAnEn429x+u6nW9qR6K206wKVPhraW7FCDWyYc/040I73Y+K/k6Nivvb2ugMb81
VO5ahLe3m/Wu+SDjl99mp7xQ/q8m8F82wNMFuHu2v/7nP7s7jS9RbWz0D0vi8aJ6ZlH+16zJ2ToQ
TMiHj7Wd5Zwofzu0v/vlhkI0O3POeI+lvh7XTGeelh9auG3vdAq8tcGHYm+WTfnoby60EutN8lDO
tq3KOwwubS13Cp1yDd/a1qNc3O8NgfoOQ3DcdOuwfmjedggmDMNbW3uyuV2TBPxQ0I9y32GGnad7
YzAFdL61sR+5dYmHYrZNnZBQby31at3chx/+FOvbcHfzneJp31w4t9jdUieYxFtL/XkgTW3+sEhD
8eRcUt9htL9sqvrDbJ3FD+2dRpw4/oe//vOT+2aTbnam3DYj9a2DcpZ/YNL9t+rDvg1DusXb27zK
KfbDVXN7H1ZsnHc7SxHk03tsy9dNdvvhsJrav7PlT4AXoGHvsDn9edt8OG2qnRn5s/R3GKP/ebm4
Wlx+Xsz/14dp8mwEA7Y//y3QWDqq74oKOhe/wzal9PlP/19nf9BYPJk2SSvEvZOKBIn4P9ka+VXf
H92TdkyjxXRT2L1H/f3Pf+5B05rWHLLHfqtfVJDxrZ5YWLvWWH6HpfnC7/wrXKP+/L5vb5OEv79T
/Ozyb5prf2acUHdEHu2uMJxIbyy32jtFyNt8W4mLRuTF5qGM7WEqw6F4+IeHzf113T/LRR388iKz
vYnvnXuvK/vPhn0XyeWdkZ0uSG8ciKuc6JhftVlTkLd623icTytht8VQJsFmkuOOnjwJXaS6PDFh
XjcuFxhFfr5fC/k6cKtI1gTxSWKGPCFp/naX/d1rJHNmvTcRTZucKii8Khm8pBODc33OPvjdimZr
0gbufnHhJvYdb+WUvEP/AOI6z5ojv1vd6abKi7xep7uf6le7/9sH8XTtB2Jz+/A5ppVnaRpEJKbD
xDh1SCqc8gnf/LX+uvR/ONvUwUY8MSvIv3NAOgMGATxCqodjaC9W+6vz6D/HF0DIFdvTzoE2bVL/
zzvz/ky4ge1OvCe7TvP4Aei3PD5/Zvc5RLyH7znNMtKQ/3ZO/e7xNu3Bu22dKNFvLXa2IVKhSR8K
mhr7HjfxGdko4XrrGjzYiHHjE/6X7QzJRBZ/h8av91w0T8/m139Agj18vHY7zZ1oz29t7nyTpWux
c6ebsiDfWuyhQMhj13VsvsOEWxBnurc4psz8t7bWHTd3we7YTuSltxa7DJ/4z63nzt3fXHXLtcg3
v7oXcht5e5vx191tHsrZ7hPvsKJX4S222p63xnmHL7fiqT6rNsPjBjtPjPbm1fvlaiNwHuwW+x7j
wJvK7uhOCLa3zjMXxfl6d/oq8juUe9Bk7Dk7g7AFHL+1vYd3TzYHZaIvvbncep3stnaCBL211KON
2JtgyoRweXOxuI9O18Ou4wt+xNtLPlnX7d5s0N9hdE/COmj2TRPl6RWxefViuwI5u473m/wOY3wS
sq/Xmwzf095TzMSYeOsXPGn6TXqbN8J/KGvaLmHUPPz14dL8+hGBLHjPmDwUtC13IjK9tcmnebbe
e3qdeDpvLnba2x+K2TZ2UoB4a6l/c03ZEifeXHYuuvXuXvEeR/PF5BW+f+j6diTew017gR+l8de7
L17v8RR/mXPK7S484jwe2v/P5++0ojf7BU9Mr7d+t6vtrgkiayd+QH2PW8dVsfdeyy34HRrcrrnQ
iZ05QQDZOxTcbe53Dw/1PS5JV11Yjz+cAw9tnKax+h5H3qd4ehLfMS7xEz1U889n28/nr+Mw8+/z
3WvjUwdu8+rj6TPG1R3zziU09KGx2zF51j/ym8Y8OzIH1MYXuxP6PW41Vxux/4RpvcNo8yC1+ZB/
x3jZebODAvMe79o/XMan67vN/f5Nb+LzvMNhdZxX5BA9/pCEPMJ2dx7+6Z9PxP/zv6ft/1dXM5ip
ik3aKzGU4MiQTn25uv8619r07PH/o2PNJ6Bqx0x5hxvdn5nPmf8wdaZt4R3m0Syvq46gvsfFTiTj
t56eM87knUWrvsN6mjXkOd6HD62bhkB7h2LdYL1zaL7HQXG5KZrbhJcEti9c4B9II/N3doJJLumt
gzzfpPkdIRhU83J97zADXWJARb4bszNxmd/aDzdPc4RAHgqavqvxDnbLX+GN29fW7K8x2qnnHW5n
7rrYfPi8Efc79saz716/eWTPo5BbX/1/ubuW5bZxLPor3HV31aQSKvEjm66yFdlJy3J7LNlT1TtI
YkuIaEHDh1Pyqn9j1rPKYnaznJ3/pL9kDkghxQtypEQ8E6eySSV2CgCBi4v7OPdcIfGHBNu2N1uv
suo2HBLsz97fc4VKZw1A6XkO40volEOCmPRQXpbIYRlWRi+ba7OS6tpyXbaV6hGu/bm68wyjY0KK
5VyN5SW05Thtl3s+956B3XZDWUOzFdldEwQ0C2m/1u7jv7MomP7w7t7oRNy6kPF49aPlWkhvA+Yh
/2Lj/kKPfasgZDgNF8ghg7TO7arVnjAy3T/3NzGxXm8XbEPztmI2QP3ATKUTD07JeEYQ4zRZJsWB
4jipWH0QOji0XMLtdyL2BiXc4gEe0okfdyPo3oHKoX21BISjPomxDXZkPzYUMp65gXmw+he1GW6Z
xeVgpAcvNUx8MSrjyShGlS9R0b6kraiV7zGal6apysWq6zijL1ds148f86VfIcrINl3DM5HVRuhq
4pa/v2IbRuvJPIrjSFicHUYeawPpqsH7QJTMWDeiNzI0Cyp8wri2kEkFF5HxIma25U1b0Rsi7utD
5xiFGcPcq3UAiqj9akdGemkgA2w/6PDxnyYYmbvHjwUi5Cp5/NdyoiUEEr3b2k8EFLf2UHKI/xDG
VcsHX0F3GIV/N7PaBWfkDxEnWABvE5ypVJhFHUYuDoWQ2rPpO7ZlS9uLguaW8OSXwiQA03/7gX+r
+SDocEcYVt+N1fiDeFrRNKf9wKUOrd9v25+z7Saf6iQYwZgT+S1AYduPfDJeR+LswEiOECy6n4Gp
GzUHgEns1E9PF4ctyz3bRmKr67fPMxCS1R/1AC/+VCUg5nK/cT/c5lICsqcfpNQRhK5r0kwF1x58
nnKv42Co4nsFVKSTMmuF2oarbaX5HAGXCM+r8FXrgP/8i13Vt2Y5tYhrt8TCbGbUM19igxM1y8WK
w62Vxp8ZKrtC9OJODrsbndUknVtkllhfDCz56+8x89FYhXKwW3Se7iQ6NrjjFM++hd6yDOnbKDGa
IaCHikGZOyU8/CdI2o+Vfi8HPnC6Yn+/7CRBcab0fgkREdSRzmI1jdK5W6HVZgyQwWCtLKJZDMtY
8Dz3D43wwJ0idSYNlJeEtSIjNDZTeWYMC36Y6OACBcBCoTOCpbjgMtnJcAnwXM6Cvv1jeHJdFYei
G2bbV/4dCiqWkefXhZaGiDCyPLqQ4fH/olZSNYSMwvP+OgHPnK/OYGC334YSCNI3Xm4JbZraj106
Mw1jE650H1waYD72lEXIuNcXSqZjgSVpvxeA2ihTuyKWSqytIAPaBGyEJ8sM432g4qm+l4FCNPAl
rBhW+9q/04ws7GW0kiFCdCVsv9wrWO2A0jfhjcJjyviLmqmCDq2EhYPmS69WSEcLZ2Z7neNnuhxD
oADVCmrDLbMwLEKCdIzmSvvw3k6H8F6P1Htd32lEKtwn7G+9jZRGuN6NU9pYjBUjlmfNQl/NoaOi
m2v/Nd88jKOG7WDg6m91lMEjdWss9oOh6n5FHaS5D96BijRfBc+DHiAXJss3N7M6HfrhvSAcwGbC
fr5U6Rzhs+eB+6tumvToFSO4OFwB1hSvm/QNyrAZts9AT6dAl/ZUmlU3reT9+t8PErTIZ1XBbnZt
ONcLlHcvsWuf/lrSrFQnRSwAHB87w4O74RZ4rtRa4YBAiP3nH/9IF/Zf58kaOXes4C1gI3fKnZrQ
hyAzOHzJAA2MNKBczwBJkHl49Bp+jYah7qP3v7HDCE7Bwol7+vyNVmYNf0kHf7WMvCLc//roAL1e
CZO+MYupwQaO1AJupJZhJhC4ghGAcHh9letEi/rY8AUockBs337frtSzWD+boPT0WZrmbjyrlTZz
EELgqJiYNYxM0EEXapXNPbOm3Jqdj8DTBZaAdCpZDtsGl6qfYG/O/yWsfpLkY+FtE8xycNJoxHqL
rOepSsZI2VblgxABByYazQZkAJxhgNnVImIvdCSjIsBiAsHXiEi1GJrhIHfVGhVWTS8mw5zpetLB
AEC9MXfId0rCIobx4MZtRvwyvDcQ1vo8uIziO+RzpqCRzSU0gAHReQsGR5GdDBmP8S+QY+/8Qgb/
30AlNhPu47YYmHBbBJVauIuw+sKtZD6fafJdgSAgMzaHKKyQDoMDsGQc7ussSwttehnda6lBGKZ+
OctFPpGRlA5F86GSUk/VtFj+yIzBHCXeAkY5+gi+Yrk/XcilSZuUYYdBkVJu1K0GfwWIoG0hlq3x
KLVCLdTAQM2eWvBlOg9udTLTjUoe5IZuP/e3rm+GW2cgPNho3aw8yHaHkQpHM3YbXXRbULjbDNN/
qKRV1LG9GtqGKxE4yoIeGI0A+MnlNWaQwZTSCRMmmz9+jKO7tVux3ZUDDmIQHzBQmEHWBQPuwohh
lh9QvgLBj2cFT8xP1Y94CdawnQ5L1WzubaAnXye5X3IDtjX7v8GcsiXh8tGcjFp7ZGB+N/GiIZ50
iFpfUMW/RjeU8NXxMcgcd7qTT3fuJW/jd3juycyqPJk4ZQThTpG08QhkGJXdp4l6kBA/Boy3i1SC
CPUz4mVdExu/RIwRJu5N4EtIxBmj88UZHJ/J3Nb3ecViDHDmmUIXdWtMNRBRHxECbOc5ABsiAoHY
l3tW9jeahoi2ItIvRCNkEKTZpBvCJ+L5Do8J6aWrKJEhwN1KdXfs+SbJ/cV2GDfkFpwVD+iuIg4O
1KG7Du7pnoEmot3v8FEom8aAaF3dGXE4DAvzFKx4friQ4OAMrbo1jQ4UA0nSNdbr/LEfAaO8nP3U
pMgY3mABWLEc9zCRrSJumofB4dU1xtlkwkthEHmd6ffaXWHrlzBQCmfgKbIdKVzDpII7Rk+SOnzq
mCBLm7cQRFzrGjyLgWjejF8giOxh25fxE8u7RcdNxaEwHgYEIEXGus4Qnn85ljwCJ9VGQotvGEze
IAgQu5+JjwDVshOK/R/kPtJoY7jWbqQiy8Wor+rOE+AQELvffI6cgLDyy+hD0FVxAyERg6XpUnuF
sAz2hFu1RBWCNCcYMZJLFBzLURl31m7wbxGy5B513vFLd5b7i92VziaIbTU+LuCnJ0ygVkim2U+o
82uEnCRx7JcHE4Qaj1SK5G0zeIxRrVKGi95GMZIyfwlOUgRlU5Qjl5Fme2ORFgMAAg3P58JOQduA
9ocyMgvYpkJSOwxTYgRIo1wtA446ykES6C2WIJl/w/HqMvJ+lmdACrl9LeKwjFxhzcjsMCAXXYsN
tFkbd2mr6z5AkPHoCH0K0IAYMIxXaLXtfr2/kripNnRE38ilSYJfc0CdYC82mnFHFl7ywrZCRhQM
nTt2E+k8oePT0PujreNT/Rq77dvBD9X/7WK+7KZFTY1Hvu5Xls64jUd96mDrFrCtcvI8MsgeibvJ
wO5e56kHZO4wksujx/+ginsduTtXqJLdfQiaJODrRP2bOsS4YynOaiO+W+L6tdZV1a/5NqS/qWPM
9/eVTQ1qvrGvrIpGg6rb6MlJDPfr5/8CAAD//w==</cx:binary>
              </cx:geoCache>
            </cx:geography>
          </cx:layoutPr>
          <cx:valueColors>
            <cx:minColor>
              <a:schemeClr val="tx2">
                <a:lumMod val="25000"/>
                <a:lumOff val="75000"/>
              </a:schemeClr>
            </cx:minColor>
            <cx:maxColor>
              <a:srgbClr val="002060"/>
            </cx:maxColor>
          </cx:valueColors>
        </cx:series>
      </cx:plotAreaRegion>
    </cx:plotArea>
    <cx:legend pos="b" align="ctr" overlay="0">
      <cx:txPr>
        <a:bodyPr spcFirstLastPara="1" vertOverflow="ellipsis" horzOverflow="overflow" wrap="square" lIns="0" tIns="0" rIns="0" bIns="0" anchor="ctr" anchorCtr="1"/>
        <a:lstStyle/>
        <a:p>
          <a:pPr algn="ctr" rtl="0">
            <a:defRPr sz="1400" b="1">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b="1" i="0" u="none" strike="noStrike" baseline="0">
            <a:solidFill>
              <a:sysClr val="windowText" lastClr="000000"/>
            </a:solidFill>
            <a:latin typeface="Times New Roman" panose="02020603050405020304" pitchFamily="18" charset="0"/>
            <a:cs typeface="Times New Roman" panose="02020603050405020304" pitchFamily="18" charset="0"/>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image" Target="../media/image1.jfif"/><Relationship Id="rId6" Type="http://schemas.openxmlformats.org/officeDocument/2006/relationships/chart" Target="../charts/chart8.xml"/><Relationship Id="rId11" Type="http://schemas.microsoft.com/office/2014/relationships/chartEx" Target="../charts/chartEx4.xml"/><Relationship Id="rId5" Type="http://schemas.openxmlformats.org/officeDocument/2006/relationships/chart" Target="../charts/chart7.xml"/><Relationship Id="rId10" Type="http://schemas.microsoft.com/office/2014/relationships/chartEx" Target="../charts/chartEx3.xml"/><Relationship Id="rId4" Type="http://schemas.openxmlformats.org/officeDocument/2006/relationships/chart" Target="../charts/chart6.xml"/><Relationship Id="rId9"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image" Target="../media/image3.png"/><Relationship Id="rId1" Type="http://schemas.openxmlformats.org/officeDocument/2006/relationships/image" Target="../media/image1.jfif"/><Relationship Id="rId6" Type="http://schemas.openxmlformats.org/officeDocument/2006/relationships/chart" Target="../charts/chart15.xml"/><Relationship Id="rId11" Type="http://schemas.microsoft.com/office/2014/relationships/chartEx" Target="../charts/chartEx6.xml"/><Relationship Id="rId5" Type="http://schemas.openxmlformats.org/officeDocument/2006/relationships/chart" Target="../charts/chart14.xml"/><Relationship Id="rId10" Type="http://schemas.microsoft.com/office/2014/relationships/chartEx" Target="../charts/chartEx5.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xdr:col>
      <xdr:colOff>390525</xdr:colOff>
      <xdr:row>19</xdr:row>
      <xdr:rowOff>28575</xdr:rowOff>
    </xdr:from>
    <xdr:to>
      <xdr:col>4</xdr:col>
      <xdr:colOff>85726</xdr:colOff>
      <xdr:row>34</xdr:row>
      <xdr:rowOff>0</xdr:rowOff>
    </xdr:to>
    <xdr:graphicFrame macro="">
      <xdr:nvGraphicFramePr>
        <xdr:cNvPr id="4" name="Chart 1">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22</xdr:row>
      <xdr:rowOff>119063</xdr:rowOff>
    </xdr:from>
    <xdr:to>
      <xdr:col>9</xdr:col>
      <xdr:colOff>342900</xdr:colOff>
      <xdr:row>38</xdr:row>
      <xdr:rowOff>119063</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609600</xdr:colOff>
      <xdr:row>23</xdr:row>
      <xdr:rowOff>61913</xdr:rowOff>
    </xdr:from>
    <xdr:to>
      <xdr:col>15</xdr:col>
      <xdr:colOff>752475</xdr:colOff>
      <xdr:row>39</xdr:row>
      <xdr:rowOff>61913</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1371600</xdr:colOff>
      <xdr:row>39</xdr:row>
      <xdr:rowOff>128588</xdr:rowOff>
    </xdr:from>
    <xdr:to>
      <xdr:col>7</xdr:col>
      <xdr:colOff>790575</xdr:colOff>
      <xdr:row>55</xdr:row>
      <xdr:rowOff>128588</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923925</xdr:colOff>
      <xdr:row>39</xdr:row>
      <xdr:rowOff>114300</xdr:rowOff>
    </xdr:from>
    <xdr:to>
      <xdr:col>13</xdr:col>
      <xdr:colOff>71438</xdr:colOff>
      <xdr:row>55</xdr:row>
      <xdr:rowOff>0</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3B7A912A-56B7-18BB-AA42-E6C4937D68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684645" y="7299960"/>
              <a:ext cx="3521393" cy="26898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185738</xdr:colOff>
      <xdr:row>39</xdr:row>
      <xdr:rowOff>161925</xdr:rowOff>
    </xdr:from>
    <xdr:to>
      <xdr:col>19</xdr:col>
      <xdr:colOff>471488</xdr:colOff>
      <xdr:row>55</xdr:row>
      <xdr:rowOff>161925</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A5BE673A-220E-5921-3E20-9CB2BF5ECC2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320338" y="7347585"/>
              <a:ext cx="4149090" cy="28041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19</xdr:col>
      <xdr:colOff>15240</xdr:colOff>
      <xdr:row>1</xdr:row>
      <xdr:rowOff>59055</xdr:rowOff>
    </xdr:from>
    <xdr:to>
      <xdr:col>21</xdr:col>
      <xdr:colOff>510540</xdr:colOff>
      <xdr:row>15</xdr:row>
      <xdr:rowOff>132080</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355D18EA-9740-E9CA-B8A4-4F11DCAD107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5550515" y="230505"/>
              <a:ext cx="1828800" cy="2568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152400</xdr:colOff>
      <xdr:row>1</xdr:row>
      <xdr:rowOff>62865</xdr:rowOff>
    </xdr:from>
    <xdr:to>
      <xdr:col>19</xdr:col>
      <xdr:colOff>1905</xdr:colOff>
      <xdr:row>15</xdr:row>
      <xdr:rowOff>135890</xdr:rowOff>
    </xdr:to>
    <mc:AlternateContent xmlns:mc="http://schemas.openxmlformats.org/markup-compatibility/2006" xmlns:a14="http://schemas.microsoft.com/office/drawing/2010/main">
      <mc:Choice Requires="a14">
        <xdr:graphicFrame macro="">
          <xdr:nvGraphicFramePr>
            <xdr:cNvPr id="10" name="Quarter">
              <a:extLst>
                <a:ext uri="{FF2B5EF4-FFF2-40B4-BE49-F238E27FC236}">
                  <a16:creationId xmlns:a16="http://schemas.microsoft.com/office/drawing/2014/main" id="{8561F0D9-C36B-5FE8-1A56-4CC68542033E}"/>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3687425" y="234315"/>
              <a:ext cx="1828800" cy="2568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2</xdr:row>
      <xdr:rowOff>57150</xdr:rowOff>
    </xdr:from>
    <xdr:to>
      <xdr:col>46</xdr:col>
      <xdr:colOff>0</xdr:colOff>
      <xdr:row>83</xdr:row>
      <xdr:rowOff>171450</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38100" y="438150"/>
          <a:ext cx="30632400" cy="15544800"/>
        </a:xfrm>
        <a:prstGeom prst="rect">
          <a:avLst/>
        </a:prstGeom>
        <a:solidFill>
          <a:schemeClr val="bg1">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95250</xdr:colOff>
      <xdr:row>2</xdr:row>
      <xdr:rowOff>38100</xdr:rowOff>
    </xdr:from>
    <xdr:to>
      <xdr:col>4</xdr:col>
      <xdr:colOff>409194</xdr:colOff>
      <xdr:row>12</xdr:row>
      <xdr:rowOff>181356</xdr:rowOff>
    </xdr:to>
    <xdr:sp macro="" textlink="">
      <xdr:nvSpPr>
        <xdr:cNvPr id="3" name="Rounded Rectangle 2">
          <a:extLst>
            <a:ext uri="{FF2B5EF4-FFF2-40B4-BE49-F238E27FC236}">
              <a16:creationId xmlns:a16="http://schemas.microsoft.com/office/drawing/2014/main" id="{00000000-0008-0000-0200-000003000000}"/>
            </a:ext>
          </a:extLst>
        </xdr:cNvPr>
        <xdr:cNvSpPr/>
      </xdr:nvSpPr>
      <xdr:spPr>
        <a:xfrm>
          <a:off x="95250" y="419100"/>
          <a:ext cx="2980944" cy="2048256"/>
        </a:xfrm>
        <a:prstGeom prst="roundRect">
          <a:avLst/>
        </a:prstGeom>
        <a:solidFill>
          <a:schemeClr val="bg1"/>
        </a:solidFill>
        <a:ln>
          <a:solidFill>
            <a:srgbClr val="E2F18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552450</xdr:colOff>
      <xdr:row>2</xdr:row>
      <xdr:rowOff>38100</xdr:rowOff>
    </xdr:from>
    <xdr:to>
      <xdr:col>45</xdr:col>
      <xdr:colOff>510540</xdr:colOff>
      <xdr:row>12</xdr:row>
      <xdr:rowOff>181356</xdr:rowOff>
    </xdr:to>
    <xdr:sp macro="" textlink="">
      <xdr:nvSpPr>
        <xdr:cNvPr id="4" name="Rounded Rectangle 3">
          <a:extLst>
            <a:ext uri="{FF2B5EF4-FFF2-40B4-BE49-F238E27FC236}">
              <a16:creationId xmlns:a16="http://schemas.microsoft.com/office/drawing/2014/main" id="{00000000-0008-0000-0200-000004000000}"/>
            </a:ext>
          </a:extLst>
        </xdr:cNvPr>
        <xdr:cNvSpPr/>
      </xdr:nvSpPr>
      <xdr:spPr>
        <a:xfrm>
          <a:off x="3219450" y="419100"/>
          <a:ext cx="27294840" cy="2048256"/>
        </a:xfrm>
        <a:prstGeom prst="roundRect">
          <a:avLst/>
        </a:prstGeom>
        <a:solidFill>
          <a:schemeClr val="bg1"/>
        </a:solidFill>
        <a:ln>
          <a:solidFill>
            <a:srgbClr val="E2F18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95250</xdr:colOff>
      <xdr:row>14</xdr:row>
      <xdr:rowOff>76200</xdr:rowOff>
    </xdr:from>
    <xdr:to>
      <xdr:col>4</xdr:col>
      <xdr:colOff>409194</xdr:colOff>
      <xdr:row>34</xdr:row>
      <xdr:rowOff>51816</xdr:rowOff>
    </xdr:to>
    <xdr:sp macro="" textlink="">
      <xdr:nvSpPr>
        <xdr:cNvPr id="5" name="Rounded Rectangle 4">
          <a:extLst>
            <a:ext uri="{FF2B5EF4-FFF2-40B4-BE49-F238E27FC236}">
              <a16:creationId xmlns:a16="http://schemas.microsoft.com/office/drawing/2014/main" id="{00000000-0008-0000-0200-000005000000}"/>
            </a:ext>
          </a:extLst>
        </xdr:cNvPr>
        <xdr:cNvSpPr/>
      </xdr:nvSpPr>
      <xdr:spPr>
        <a:xfrm>
          <a:off x="95250" y="2743200"/>
          <a:ext cx="2980944" cy="3785616"/>
        </a:xfrm>
        <a:prstGeom prst="roundRect">
          <a:avLst/>
        </a:prstGeom>
        <a:solidFill>
          <a:schemeClr val="bg1"/>
        </a:solidFill>
        <a:ln>
          <a:solidFill>
            <a:srgbClr val="E2F18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152400</xdr:colOff>
      <xdr:row>35</xdr:row>
      <xdr:rowOff>38100</xdr:rowOff>
    </xdr:from>
    <xdr:to>
      <xdr:col>4</xdr:col>
      <xdr:colOff>466344</xdr:colOff>
      <xdr:row>82</xdr:row>
      <xdr:rowOff>82296</xdr:rowOff>
    </xdr:to>
    <xdr:sp macro="" textlink="">
      <xdr:nvSpPr>
        <xdr:cNvPr id="6" name="Rounded Rectangle 5">
          <a:extLst>
            <a:ext uri="{FF2B5EF4-FFF2-40B4-BE49-F238E27FC236}">
              <a16:creationId xmlns:a16="http://schemas.microsoft.com/office/drawing/2014/main" id="{00000000-0008-0000-0200-000006000000}"/>
            </a:ext>
          </a:extLst>
        </xdr:cNvPr>
        <xdr:cNvSpPr/>
      </xdr:nvSpPr>
      <xdr:spPr>
        <a:xfrm>
          <a:off x="152400" y="6705600"/>
          <a:ext cx="2980944" cy="8997696"/>
        </a:xfrm>
        <a:prstGeom prst="roundRect">
          <a:avLst/>
        </a:prstGeom>
        <a:solidFill>
          <a:schemeClr val="bg1"/>
        </a:solidFill>
        <a:ln>
          <a:solidFill>
            <a:srgbClr val="E2F18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571500</xdr:colOff>
      <xdr:row>13</xdr:row>
      <xdr:rowOff>133350</xdr:rowOff>
    </xdr:from>
    <xdr:to>
      <xdr:col>14</xdr:col>
      <xdr:colOff>569976</xdr:colOff>
      <xdr:row>27</xdr:row>
      <xdr:rowOff>46482</xdr:rowOff>
    </xdr:to>
    <xdr:sp macro="" textlink="">
      <xdr:nvSpPr>
        <xdr:cNvPr id="7" name="Rounded Rectangle 6">
          <a:extLst>
            <a:ext uri="{FF2B5EF4-FFF2-40B4-BE49-F238E27FC236}">
              <a16:creationId xmlns:a16="http://schemas.microsoft.com/office/drawing/2014/main" id="{00000000-0008-0000-0200-000007000000}"/>
            </a:ext>
          </a:extLst>
        </xdr:cNvPr>
        <xdr:cNvSpPr/>
      </xdr:nvSpPr>
      <xdr:spPr>
        <a:xfrm>
          <a:off x="3238500" y="2609850"/>
          <a:ext cx="6665976" cy="2580132"/>
        </a:xfrm>
        <a:prstGeom prst="roundRect">
          <a:avLst/>
        </a:prstGeom>
        <a:solidFill>
          <a:schemeClr val="bg1"/>
        </a:solidFill>
        <a:ln>
          <a:solidFill>
            <a:srgbClr val="E2F18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114300</xdr:colOff>
      <xdr:row>13</xdr:row>
      <xdr:rowOff>133350</xdr:rowOff>
    </xdr:from>
    <xdr:to>
      <xdr:col>25</xdr:col>
      <xdr:colOff>112776</xdr:colOff>
      <xdr:row>27</xdr:row>
      <xdr:rowOff>54102</xdr:rowOff>
    </xdr:to>
    <xdr:sp macro="" textlink="">
      <xdr:nvSpPr>
        <xdr:cNvPr id="8" name="Rounded Rectangle 7">
          <a:extLst>
            <a:ext uri="{FF2B5EF4-FFF2-40B4-BE49-F238E27FC236}">
              <a16:creationId xmlns:a16="http://schemas.microsoft.com/office/drawing/2014/main" id="{00000000-0008-0000-0200-000008000000}"/>
            </a:ext>
          </a:extLst>
        </xdr:cNvPr>
        <xdr:cNvSpPr/>
      </xdr:nvSpPr>
      <xdr:spPr>
        <a:xfrm>
          <a:off x="10115550" y="2609850"/>
          <a:ext cx="6665976" cy="2587752"/>
        </a:xfrm>
        <a:prstGeom prst="roundRect">
          <a:avLst/>
        </a:prstGeom>
        <a:solidFill>
          <a:schemeClr val="bg1"/>
        </a:solidFill>
        <a:ln>
          <a:solidFill>
            <a:srgbClr val="E2F18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323850</xdr:colOff>
      <xdr:row>13</xdr:row>
      <xdr:rowOff>133350</xdr:rowOff>
    </xdr:from>
    <xdr:to>
      <xdr:col>35</xdr:col>
      <xdr:colOff>322326</xdr:colOff>
      <xdr:row>27</xdr:row>
      <xdr:rowOff>46482</xdr:rowOff>
    </xdr:to>
    <xdr:sp macro="" textlink="">
      <xdr:nvSpPr>
        <xdr:cNvPr id="9" name="Rounded Rectangle 8">
          <a:extLst>
            <a:ext uri="{FF2B5EF4-FFF2-40B4-BE49-F238E27FC236}">
              <a16:creationId xmlns:a16="http://schemas.microsoft.com/office/drawing/2014/main" id="{00000000-0008-0000-0200-000009000000}"/>
            </a:ext>
          </a:extLst>
        </xdr:cNvPr>
        <xdr:cNvSpPr/>
      </xdr:nvSpPr>
      <xdr:spPr>
        <a:xfrm>
          <a:off x="16992600" y="2609850"/>
          <a:ext cx="6665976" cy="2580132"/>
        </a:xfrm>
        <a:prstGeom prst="roundRect">
          <a:avLst/>
        </a:prstGeom>
        <a:solidFill>
          <a:schemeClr val="bg1"/>
        </a:solidFill>
        <a:ln>
          <a:solidFill>
            <a:srgbClr val="E2F18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35</xdr:col>
      <xdr:colOff>533400</xdr:colOff>
      <xdr:row>13</xdr:row>
      <xdr:rowOff>133350</xdr:rowOff>
    </xdr:from>
    <xdr:to>
      <xdr:col>45</xdr:col>
      <xdr:colOff>531876</xdr:colOff>
      <xdr:row>27</xdr:row>
      <xdr:rowOff>46482</xdr:rowOff>
    </xdr:to>
    <xdr:sp macro="" textlink="">
      <xdr:nvSpPr>
        <xdr:cNvPr id="10" name="Rounded Rectangle 9">
          <a:extLst>
            <a:ext uri="{FF2B5EF4-FFF2-40B4-BE49-F238E27FC236}">
              <a16:creationId xmlns:a16="http://schemas.microsoft.com/office/drawing/2014/main" id="{00000000-0008-0000-0200-00000A000000}"/>
            </a:ext>
          </a:extLst>
        </xdr:cNvPr>
        <xdr:cNvSpPr/>
      </xdr:nvSpPr>
      <xdr:spPr>
        <a:xfrm>
          <a:off x="23869650" y="2609850"/>
          <a:ext cx="6665976" cy="2580132"/>
        </a:xfrm>
        <a:prstGeom prst="roundRect">
          <a:avLst/>
        </a:prstGeom>
        <a:solidFill>
          <a:schemeClr val="bg1"/>
        </a:solidFill>
        <a:ln>
          <a:solidFill>
            <a:srgbClr val="E2F18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590550</xdr:colOff>
      <xdr:row>28</xdr:row>
      <xdr:rowOff>0</xdr:rowOff>
    </xdr:from>
    <xdr:to>
      <xdr:col>19</xdr:col>
      <xdr:colOff>400812</xdr:colOff>
      <xdr:row>54</xdr:row>
      <xdr:rowOff>121920</xdr:rowOff>
    </xdr:to>
    <xdr:sp macro="" textlink="">
      <xdr:nvSpPr>
        <xdr:cNvPr id="11" name="Rounded Rectangle 10">
          <a:extLst>
            <a:ext uri="{FF2B5EF4-FFF2-40B4-BE49-F238E27FC236}">
              <a16:creationId xmlns:a16="http://schemas.microsoft.com/office/drawing/2014/main" id="{00000000-0008-0000-0200-00000B000000}"/>
            </a:ext>
          </a:extLst>
        </xdr:cNvPr>
        <xdr:cNvSpPr/>
      </xdr:nvSpPr>
      <xdr:spPr>
        <a:xfrm>
          <a:off x="3257550" y="5334000"/>
          <a:ext cx="9811512" cy="5074920"/>
        </a:xfrm>
        <a:prstGeom prst="roundRect">
          <a:avLst/>
        </a:prstGeom>
        <a:solidFill>
          <a:schemeClr val="bg1"/>
        </a:solidFill>
        <a:ln>
          <a:solidFill>
            <a:srgbClr val="E2F18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ccc</a:t>
          </a:r>
        </a:p>
      </xdr:txBody>
    </xdr:sp>
    <xdr:clientData/>
  </xdr:twoCellAnchor>
  <xdr:twoCellAnchor>
    <xdr:from>
      <xdr:col>19</xdr:col>
      <xdr:colOff>552450</xdr:colOff>
      <xdr:row>27</xdr:row>
      <xdr:rowOff>152400</xdr:rowOff>
    </xdr:from>
    <xdr:to>
      <xdr:col>34</xdr:col>
      <xdr:colOff>362712</xdr:colOff>
      <xdr:row>54</xdr:row>
      <xdr:rowOff>83820</xdr:rowOff>
    </xdr:to>
    <xdr:sp macro="" textlink="">
      <xdr:nvSpPr>
        <xdr:cNvPr id="12" name="Rounded Rectangle 11">
          <a:extLst>
            <a:ext uri="{FF2B5EF4-FFF2-40B4-BE49-F238E27FC236}">
              <a16:creationId xmlns:a16="http://schemas.microsoft.com/office/drawing/2014/main" id="{00000000-0008-0000-0200-00000C000000}"/>
            </a:ext>
          </a:extLst>
        </xdr:cNvPr>
        <xdr:cNvSpPr/>
      </xdr:nvSpPr>
      <xdr:spPr>
        <a:xfrm>
          <a:off x="13220700" y="5295900"/>
          <a:ext cx="9811512" cy="5074920"/>
        </a:xfrm>
        <a:prstGeom prst="roundRect">
          <a:avLst/>
        </a:prstGeom>
        <a:solidFill>
          <a:schemeClr val="bg1"/>
        </a:solidFill>
        <a:ln>
          <a:solidFill>
            <a:srgbClr val="E2F18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590550</xdr:colOff>
      <xdr:row>55</xdr:row>
      <xdr:rowOff>57150</xdr:rowOff>
    </xdr:from>
    <xdr:to>
      <xdr:col>19</xdr:col>
      <xdr:colOff>400812</xdr:colOff>
      <xdr:row>81</xdr:row>
      <xdr:rowOff>179070</xdr:rowOff>
    </xdr:to>
    <xdr:sp macro="" textlink="">
      <xdr:nvSpPr>
        <xdr:cNvPr id="13" name="Rounded Rectangle 12">
          <a:extLst>
            <a:ext uri="{FF2B5EF4-FFF2-40B4-BE49-F238E27FC236}">
              <a16:creationId xmlns:a16="http://schemas.microsoft.com/office/drawing/2014/main" id="{00000000-0008-0000-0200-00000D000000}"/>
            </a:ext>
          </a:extLst>
        </xdr:cNvPr>
        <xdr:cNvSpPr/>
      </xdr:nvSpPr>
      <xdr:spPr>
        <a:xfrm>
          <a:off x="3257550" y="10534650"/>
          <a:ext cx="9811512" cy="5074920"/>
        </a:xfrm>
        <a:prstGeom prst="roundRect">
          <a:avLst/>
        </a:prstGeom>
        <a:solidFill>
          <a:schemeClr val="bg1"/>
        </a:solidFill>
        <a:ln>
          <a:solidFill>
            <a:srgbClr val="E2F18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533400</xdr:colOff>
      <xdr:row>55</xdr:row>
      <xdr:rowOff>19050</xdr:rowOff>
    </xdr:from>
    <xdr:to>
      <xdr:col>34</xdr:col>
      <xdr:colOff>343662</xdr:colOff>
      <xdr:row>81</xdr:row>
      <xdr:rowOff>140970</xdr:rowOff>
    </xdr:to>
    <xdr:sp macro="" textlink="">
      <xdr:nvSpPr>
        <xdr:cNvPr id="14" name="Rounded Rectangle 13">
          <a:extLst>
            <a:ext uri="{FF2B5EF4-FFF2-40B4-BE49-F238E27FC236}">
              <a16:creationId xmlns:a16="http://schemas.microsoft.com/office/drawing/2014/main" id="{00000000-0008-0000-0200-00000E000000}"/>
            </a:ext>
          </a:extLst>
        </xdr:cNvPr>
        <xdr:cNvSpPr/>
      </xdr:nvSpPr>
      <xdr:spPr>
        <a:xfrm>
          <a:off x="13201650" y="10496550"/>
          <a:ext cx="9811512" cy="5074920"/>
        </a:xfrm>
        <a:prstGeom prst="roundRect">
          <a:avLst/>
        </a:prstGeom>
        <a:solidFill>
          <a:schemeClr val="bg1"/>
        </a:solidFill>
        <a:ln>
          <a:solidFill>
            <a:srgbClr val="E2F18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34</xdr:col>
      <xdr:colOff>552450</xdr:colOff>
      <xdr:row>28</xdr:row>
      <xdr:rowOff>133350</xdr:rowOff>
    </xdr:from>
    <xdr:to>
      <xdr:col>45</xdr:col>
      <xdr:colOff>551688</xdr:colOff>
      <xdr:row>82</xdr:row>
      <xdr:rowOff>41910</xdr:rowOff>
    </xdr:to>
    <xdr:sp macro="" textlink="">
      <xdr:nvSpPr>
        <xdr:cNvPr id="15" name="Rounded Rectangle 14">
          <a:extLst>
            <a:ext uri="{FF2B5EF4-FFF2-40B4-BE49-F238E27FC236}">
              <a16:creationId xmlns:a16="http://schemas.microsoft.com/office/drawing/2014/main" id="{00000000-0008-0000-0200-00000F000000}"/>
            </a:ext>
          </a:extLst>
        </xdr:cNvPr>
        <xdr:cNvSpPr/>
      </xdr:nvSpPr>
      <xdr:spPr>
        <a:xfrm>
          <a:off x="23221950" y="5467350"/>
          <a:ext cx="7333488" cy="10195560"/>
        </a:xfrm>
        <a:prstGeom prst="roundRect">
          <a:avLst/>
        </a:prstGeom>
        <a:solidFill>
          <a:schemeClr val="bg1"/>
        </a:solidFill>
        <a:ln>
          <a:solidFill>
            <a:srgbClr val="E2F18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323850</xdr:colOff>
      <xdr:row>3</xdr:row>
      <xdr:rowOff>0</xdr:rowOff>
    </xdr:from>
    <xdr:to>
      <xdr:col>4</xdr:col>
      <xdr:colOff>209550</xdr:colOff>
      <xdr:row>12</xdr:row>
      <xdr:rowOff>76200</xdr:rowOff>
    </xdr:to>
    <xdr:pic>
      <xdr:nvPicPr>
        <xdr:cNvPr id="16" name="Picture 15">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3850" y="571500"/>
          <a:ext cx="2552700" cy="1790700"/>
        </a:xfrm>
        <a:prstGeom prst="rect">
          <a:avLst/>
        </a:prstGeom>
      </xdr:spPr>
    </xdr:pic>
    <xdr:clientData/>
  </xdr:twoCellAnchor>
  <xdr:twoCellAnchor editAs="oneCell">
    <xdr:from>
      <xdr:col>5</xdr:col>
      <xdr:colOff>476250</xdr:colOff>
      <xdr:row>3</xdr:row>
      <xdr:rowOff>38100</xdr:rowOff>
    </xdr:from>
    <xdr:to>
      <xdr:col>8</xdr:col>
      <xdr:colOff>170840</xdr:colOff>
      <xdr:row>12</xdr:row>
      <xdr:rowOff>18440</xdr:rowOff>
    </xdr:to>
    <xdr:pic>
      <xdr:nvPicPr>
        <xdr:cNvPr id="17" name="Picture 16">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810000" y="609600"/>
          <a:ext cx="1694840" cy="1694840"/>
        </a:xfrm>
        <a:prstGeom prst="rect">
          <a:avLst/>
        </a:prstGeom>
      </xdr:spPr>
    </xdr:pic>
    <xdr:clientData/>
  </xdr:twoCellAnchor>
  <xdr:twoCellAnchor>
    <xdr:from>
      <xdr:col>9</xdr:col>
      <xdr:colOff>38100</xdr:colOff>
      <xdr:row>4</xdr:row>
      <xdr:rowOff>95250</xdr:rowOff>
    </xdr:from>
    <xdr:to>
      <xdr:col>43</xdr:col>
      <xdr:colOff>438150</xdr:colOff>
      <xdr:row>9</xdr:row>
      <xdr:rowOff>171450</xdr:rowOff>
    </xdr:to>
    <xdr:sp macro="" textlink="">
      <xdr:nvSpPr>
        <xdr:cNvPr id="18" name="TextBox 17">
          <a:extLst>
            <a:ext uri="{FF2B5EF4-FFF2-40B4-BE49-F238E27FC236}">
              <a16:creationId xmlns:a16="http://schemas.microsoft.com/office/drawing/2014/main" id="{00000000-0008-0000-0200-000012000000}"/>
            </a:ext>
          </a:extLst>
        </xdr:cNvPr>
        <xdr:cNvSpPr txBox="1"/>
      </xdr:nvSpPr>
      <xdr:spPr>
        <a:xfrm>
          <a:off x="6038850" y="857250"/>
          <a:ext cx="23069550" cy="102870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800" b="1">
              <a:solidFill>
                <a:schemeClr val="accent1">
                  <a:lumMod val="50000"/>
                </a:schemeClr>
              </a:solidFill>
              <a:latin typeface="Times New Roman" panose="02020603050405020304" pitchFamily="18" charset="0"/>
              <a:cs typeface="Times New Roman" panose="02020603050405020304" pitchFamily="18" charset="0"/>
            </a:rPr>
            <a:t>Sales Profit &amp;</a:t>
          </a:r>
          <a:r>
            <a:rPr lang="en-US" sz="8800" b="1" baseline="0">
              <a:solidFill>
                <a:schemeClr val="accent1">
                  <a:lumMod val="50000"/>
                </a:schemeClr>
              </a:solidFill>
              <a:latin typeface="Times New Roman" panose="02020603050405020304" pitchFamily="18" charset="0"/>
              <a:cs typeface="Times New Roman" panose="02020603050405020304" pitchFamily="18" charset="0"/>
            </a:rPr>
            <a:t> Customer Metrics Dashboard</a:t>
          </a:r>
          <a:endParaRPr lang="en-US" sz="8800" b="1">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228600</xdr:colOff>
      <xdr:row>15</xdr:row>
      <xdr:rowOff>0</xdr:rowOff>
    </xdr:from>
    <xdr:to>
      <xdr:col>7</xdr:col>
      <xdr:colOff>647700</xdr:colOff>
      <xdr:row>19</xdr:row>
      <xdr:rowOff>57150</xdr:rowOff>
    </xdr:to>
    <xdr:sp macro="" textlink="">
      <xdr:nvSpPr>
        <xdr:cNvPr id="19" name="TextBox 18">
          <a:extLst>
            <a:ext uri="{FF2B5EF4-FFF2-40B4-BE49-F238E27FC236}">
              <a16:creationId xmlns:a16="http://schemas.microsoft.com/office/drawing/2014/main" id="{00000000-0008-0000-0200-000013000000}"/>
            </a:ext>
          </a:extLst>
        </xdr:cNvPr>
        <xdr:cNvSpPr txBox="1"/>
      </xdr:nvSpPr>
      <xdr:spPr>
        <a:xfrm>
          <a:off x="3562350" y="2857500"/>
          <a:ext cx="1752600" cy="81915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tx1"/>
              </a:solidFill>
              <a:latin typeface="Times New Roman" panose="02020603050405020304" pitchFamily="18" charset="0"/>
              <a:cs typeface="Times New Roman" panose="02020603050405020304" pitchFamily="18" charset="0"/>
            </a:rPr>
            <a:t>Sales</a:t>
          </a:r>
          <a:endParaRPr lang="en-US" sz="32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571500</xdr:colOff>
      <xdr:row>14</xdr:row>
      <xdr:rowOff>152400</xdr:rowOff>
    </xdr:from>
    <xdr:to>
      <xdr:col>18</xdr:col>
      <xdr:colOff>114300</xdr:colOff>
      <xdr:row>17</xdr:row>
      <xdr:rowOff>152400</xdr:rowOff>
    </xdr:to>
    <xdr:sp macro="" textlink="">
      <xdr:nvSpPr>
        <xdr:cNvPr id="20" name="TextBox 19">
          <a:extLst>
            <a:ext uri="{FF2B5EF4-FFF2-40B4-BE49-F238E27FC236}">
              <a16:creationId xmlns:a16="http://schemas.microsoft.com/office/drawing/2014/main" id="{00000000-0008-0000-0200-000014000000}"/>
            </a:ext>
          </a:extLst>
        </xdr:cNvPr>
        <xdr:cNvSpPr txBox="1"/>
      </xdr:nvSpPr>
      <xdr:spPr>
        <a:xfrm>
          <a:off x="10572750" y="2819400"/>
          <a:ext cx="1543050" cy="57150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tx1"/>
              </a:solidFill>
              <a:latin typeface="Times New Roman" panose="02020603050405020304" pitchFamily="18" charset="0"/>
              <a:cs typeface="Times New Roman" panose="02020603050405020304" pitchFamily="18" charset="0"/>
            </a:rPr>
            <a:t>Profit</a:t>
          </a:r>
          <a:endParaRPr lang="en-US" sz="36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25</xdr:col>
      <xdr:colOff>647700</xdr:colOff>
      <xdr:row>14</xdr:row>
      <xdr:rowOff>133350</xdr:rowOff>
    </xdr:from>
    <xdr:to>
      <xdr:col>31</xdr:col>
      <xdr:colOff>342900</xdr:colOff>
      <xdr:row>18</xdr:row>
      <xdr:rowOff>0</xdr:rowOff>
    </xdr:to>
    <xdr:sp macro="" textlink="">
      <xdr:nvSpPr>
        <xdr:cNvPr id="21" name="TextBox 20">
          <a:extLst>
            <a:ext uri="{FF2B5EF4-FFF2-40B4-BE49-F238E27FC236}">
              <a16:creationId xmlns:a16="http://schemas.microsoft.com/office/drawing/2014/main" id="{00000000-0008-0000-0200-000015000000}"/>
            </a:ext>
          </a:extLst>
        </xdr:cNvPr>
        <xdr:cNvSpPr txBox="1"/>
      </xdr:nvSpPr>
      <xdr:spPr>
        <a:xfrm>
          <a:off x="17316450" y="2800350"/>
          <a:ext cx="3695700" cy="62865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tx1"/>
              </a:solidFill>
              <a:latin typeface="Times New Roman" panose="02020603050405020304" pitchFamily="18" charset="0"/>
              <a:cs typeface="Times New Roman" panose="02020603050405020304" pitchFamily="18" charset="0"/>
            </a:rPr>
            <a:t>Customer</a:t>
          </a:r>
          <a:r>
            <a:rPr lang="en-US" sz="3200" b="1">
              <a:solidFill>
                <a:schemeClr val="tx1"/>
              </a:solidFill>
              <a:latin typeface="Times New Roman" panose="02020603050405020304" pitchFamily="18" charset="0"/>
              <a:cs typeface="Times New Roman" panose="02020603050405020304" pitchFamily="18" charset="0"/>
            </a:rPr>
            <a:t> Count</a:t>
          </a:r>
        </a:p>
      </xdr:txBody>
    </xdr:sp>
    <xdr:clientData/>
  </xdr:twoCellAnchor>
  <xdr:twoCellAnchor>
    <xdr:from>
      <xdr:col>36</xdr:col>
      <xdr:colOff>342900</xdr:colOff>
      <xdr:row>14</xdr:row>
      <xdr:rowOff>133350</xdr:rowOff>
    </xdr:from>
    <xdr:to>
      <xdr:col>39</xdr:col>
      <xdr:colOff>76200</xdr:colOff>
      <xdr:row>18</xdr:row>
      <xdr:rowOff>57150</xdr:rowOff>
    </xdr:to>
    <xdr:sp macro="" textlink="">
      <xdr:nvSpPr>
        <xdr:cNvPr id="22" name="TextBox 21">
          <a:extLst>
            <a:ext uri="{FF2B5EF4-FFF2-40B4-BE49-F238E27FC236}">
              <a16:creationId xmlns:a16="http://schemas.microsoft.com/office/drawing/2014/main" id="{00000000-0008-0000-0200-000016000000}"/>
            </a:ext>
          </a:extLst>
        </xdr:cNvPr>
        <xdr:cNvSpPr txBox="1"/>
      </xdr:nvSpPr>
      <xdr:spPr>
        <a:xfrm>
          <a:off x="24345900" y="2800350"/>
          <a:ext cx="1733550" cy="68580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tx1"/>
              </a:solidFill>
              <a:latin typeface="Times New Roman" panose="02020603050405020304" pitchFamily="18" charset="0"/>
              <a:cs typeface="Times New Roman" panose="02020603050405020304" pitchFamily="18" charset="0"/>
            </a:rPr>
            <a:t>Target</a:t>
          </a:r>
          <a:endParaRPr lang="en-US" sz="32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457200</xdr:colOff>
      <xdr:row>20</xdr:row>
      <xdr:rowOff>19050</xdr:rowOff>
    </xdr:from>
    <xdr:to>
      <xdr:col>9</xdr:col>
      <xdr:colOff>266700</xdr:colOff>
      <xdr:row>24</xdr:row>
      <xdr:rowOff>171450</xdr:rowOff>
    </xdr:to>
    <xdr:sp macro="" textlink="PivotTable!B35">
      <xdr:nvSpPr>
        <xdr:cNvPr id="23" name="TextBox 22">
          <a:extLst>
            <a:ext uri="{FF2B5EF4-FFF2-40B4-BE49-F238E27FC236}">
              <a16:creationId xmlns:a16="http://schemas.microsoft.com/office/drawing/2014/main" id="{00000000-0008-0000-0200-000017000000}"/>
            </a:ext>
          </a:extLst>
        </xdr:cNvPr>
        <xdr:cNvSpPr txBox="1"/>
      </xdr:nvSpPr>
      <xdr:spPr>
        <a:xfrm>
          <a:off x="3790950" y="3829050"/>
          <a:ext cx="2476500" cy="91440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321E2B-57E6-438F-8784-E87147C403E0}" type="TxLink">
            <a:rPr lang="en-US" sz="4000" b="1" i="0" u="none" strike="noStrike">
              <a:solidFill>
                <a:srgbClr val="000000"/>
              </a:solidFill>
              <a:latin typeface="Times New Roman" panose="02020603050405020304" pitchFamily="18" charset="0"/>
              <a:cs typeface="Times New Roman" panose="02020603050405020304" pitchFamily="18" charset="0"/>
            </a:rPr>
            <a:pPr algn="ctr"/>
            <a:t> $157,361 </a:t>
          </a:fld>
          <a:endParaRPr lang="en-US" sz="9600" b="1">
            <a:latin typeface="Times New Roman" panose="02020603050405020304" pitchFamily="18" charset="0"/>
            <a:cs typeface="Times New Roman" panose="02020603050405020304" pitchFamily="18" charset="0"/>
          </a:endParaRPr>
        </a:p>
      </xdr:txBody>
    </xdr:sp>
    <xdr:clientData/>
  </xdr:twoCellAnchor>
  <xdr:twoCellAnchor>
    <xdr:from>
      <xdr:col>15</xdr:col>
      <xdr:colOff>609600</xdr:colOff>
      <xdr:row>20</xdr:row>
      <xdr:rowOff>38100</xdr:rowOff>
    </xdr:from>
    <xdr:to>
      <xdr:col>20</xdr:col>
      <xdr:colOff>438150</xdr:colOff>
      <xdr:row>23</xdr:row>
      <xdr:rowOff>171450</xdr:rowOff>
    </xdr:to>
    <xdr:sp macro="" textlink="PivotTable!B36">
      <xdr:nvSpPr>
        <xdr:cNvPr id="24" name="TextBox 23">
          <a:extLst>
            <a:ext uri="{FF2B5EF4-FFF2-40B4-BE49-F238E27FC236}">
              <a16:creationId xmlns:a16="http://schemas.microsoft.com/office/drawing/2014/main" id="{00000000-0008-0000-0200-000018000000}"/>
            </a:ext>
          </a:extLst>
        </xdr:cNvPr>
        <xdr:cNvSpPr txBox="1"/>
      </xdr:nvSpPr>
      <xdr:spPr>
        <a:xfrm>
          <a:off x="10610850" y="3848100"/>
          <a:ext cx="3162300" cy="70485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5D5A080-CB4D-49AE-8F16-DF3A87F55343}" type="TxLink">
            <a:rPr lang="en-US" sz="4000" b="1" i="0" u="none" strike="noStrike">
              <a:solidFill>
                <a:srgbClr val="000000"/>
              </a:solidFill>
              <a:latin typeface="Times New Roman" panose="02020603050405020304" pitchFamily="18" charset="0"/>
              <a:cs typeface="Times New Roman" panose="02020603050405020304" pitchFamily="18" charset="0"/>
            </a:rPr>
            <a:pPr algn="ctr"/>
            <a:t> $113,301 </a:t>
          </a:fld>
          <a:endParaRPr lang="en-US" sz="4000" b="1">
            <a:latin typeface="Times New Roman" panose="02020603050405020304" pitchFamily="18" charset="0"/>
            <a:cs typeface="Times New Roman" panose="02020603050405020304" pitchFamily="18" charset="0"/>
          </a:endParaRPr>
        </a:p>
      </xdr:txBody>
    </xdr:sp>
    <xdr:clientData/>
  </xdr:twoCellAnchor>
  <xdr:twoCellAnchor>
    <xdr:from>
      <xdr:col>27</xdr:col>
      <xdr:colOff>95250</xdr:colOff>
      <xdr:row>19</xdr:row>
      <xdr:rowOff>171450</xdr:rowOff>
    </xdr:from>
    <xdr:to>
      <xdr:col>30</xdr:col>
      <xdr:colOff>76200</xdr:colOff>
      <xdr:row>24</xdr:row>
      <xdr:rowOff>95250</xdr:rowOff>
    </xdr:to>
    <xdr:sp macro="" textlink="PivotTable!B37">
      <xdr:nvSpPr>
        <xdr:cNvPr id="25" name="TextBox 24">
          <a:extLst>
            <a:ext uri="{FF2B5EF4-FFF2-40B4-BE49-F238E27FC236}">
              <a16:creationId xmlns:a16="http://schemas.microsoft.com/office/drawing/2014/main" id="{00000000-0008-0000-0200-000019000000}"/>
            </a:ext>
          </a:extLst>
        </xdr:cNvPr>
        <xdr:cNvSpPr txBox="1"/>
      </xdr:nvSpPr>
      <xdr:spPr>
        <a:xfrm>
          <a:off x="18097500" y="3790950"/>
          <a:ext cx="1981200" cy="87630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CC6672-780C-4DDB-BF04-F7758C730731}" type="TxLink">
            <a:rPr lang="en-US" sz="4000" b="1" i="0" u="none" strike="noStrike">
              <a:solidFill>
                <a:srgbClr val="000000"/>
              </a:solidFill>
              <a:latin typeface="Times New Roman" panose="02020603050405020304" pitchFamily="18" charset="0"/>
              <a:cs typeface="Times New Roman" panose="02020603050405020304" pitchFamily="18" charset="0"/>
            </a:rPr>
            <a:pPr algn="ctr"/>
            <a:t>9360</a:t>
          </a:fld>
          <a:endParaRPr lang="en-US" sz="4000" b="1">
            <a:latin typeface="Times New Roman" panose="02020603050405020304" pitchFamily="18" charset="0"/>
            <a:cs typeface="Times New Roman" panose="02020603050405020304" pitchFamily="18" charset="0"/>
          </a:endParaRPr>
        </a:p>
      </xdr:txBody>
    </xdr:sp>
    <xdr:clientData/>
  </xdr:twoCellAnchor>
  <xdr:twoCellAnchor>
    <xdr:from>
      <xdr:col>36</xdr:col>
      <xdr:colOff>514350</xdr:colOff>
      <xdr:row>19</xdr:row>
      <xdr:rowOff>152400</xdr:rowOff>
    </xdr:from>
    <xdr:to>
      <xdr:col>41</xdr:col>
      <xdr:colOff>171450</xdr:colOff>
      <xdr:row>23</xdr:row>
      <xdr:rowOff>171450</xdr:rowOff>
    </xdr:to>
    <xdr:sp macro="" textlink="PivotTable!B38">
      <xdr:nvSpPr>
        <xdr:cNvPr id="26" name="TextBox 25">
          <a:extLst>
            <a:ext uri="{FF2B5EF4-FFF2-40B4-BE49-F238E27FC236}">
              <a16:creationId xmlns:a16="http://schemas.microsoft.com/office/drawing/2014/main" id="{00000000-0008-0000-0200-00001A000000}"/>
            </a:ext>
          </a:extLst>
        </xdr:cNvPr>
        <xdr:cNvSpPr txBox="1"/>
      </xdr:nvSpPr>
      <xdr:spPr>
        <a:xfrm>
          <a:off x="24517350" y="3771900"/>
          <a:ext cx="2990850" cy="78105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5BFF8C-804E-41EA-9161-2505CAA88DB9}" type="TxLink">
            <a:rPr lang="en-US" sz="4000" b="1" i="0" u="none" strike="noStrike">
              <a:solidFill>
                <a:srgbClr val="000000"/>
              </a:solidFill>
              <a:latin typeface="Times New Roman"/>
              <a:cs typeface="Times New Roman"/>
            </a:rPr>
            <a:pPr algn="ctr"/>
            <a:t> $166,999 </a:t>
          </a:fld>
          <a:endParaRPr lang="en-US" sz="4000" b="1"/>
        </a:p>
      </xdr:txBody>
    </xdr:sp>
    <xdr:clientData/>
  </xdr:twoCellAnchor>
  <xdr:twoCellAnchor>
    <xdr:from>
      <xdr:col>10</xdr:col>
      <xdr:colOff>419100</xdr:colOff>
      <xdr:row>14</xdr:row>
      <xdr:rowOff>0</xdr:rowOff>
    </xdr:from>
    <xdr:to>
      <xdr:col>14</xdr:col>
      <xdr:colOff>66676</xdr:colOff>
      <xdr:row>27</xdr:row>
      <xdr:rowOff>66675</xdr:rowOff>
    </xdr:to>
    <xdr:graphicFrame macro="">
      <xdr:nvGraphicFramePr>
        <xdr:cNvPr id="27" name="Chart 1">
          <a:extLst>
            <a:ext uri="{FF2B5EF4-FFF2-40B4-BE49-F238E27FC236}">
              <a16:creationId xmlns:a16="http://schemas.microsoft.com/office/drawing/2014/main" id="{00000000-0008-0000-02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323850</xdr:colOff>
      <xdr:row>18</xdr:row>
      <xdr:rowOff>152400</xdr:rowOff>
    </xdr:from>
    <xdr:to>
      <xdr:col>13</xdr:col>
      <xdr:colOff>209550</xdr:colOff>
      <xdr:row>22</xdr:row>
      <xdr:rowOff>133350</xdr:rowOff>
    </xdr:to>
    <xdr:sp macro="" textlink="PivotTable!B25">
      <xdr:nvSpPr>
        <xdr:cNvPr id="28" name="TextBox 27">
          <a:extLst>
            <a:ext uri="{FF2B5EF4-FFF2-40B4-BE49-F238E27FC236}">
              <a16:creationId xmlns:a16="http://schemas.microsoft.com/office/drawing/2014/main" id="{00000000-0008-0000-0200-00001C000000}"/>
            </a:ext>
          </a:extLst>
        </xdr:cNvPr>
        <xdr:cNvSpPr txBox="1"/>
      </xdr:nvSpPr>
      <xdr:spPr>
        <a:xfrm>
          <a:off x="7658100" y="3581400"/>
          <a:ext cx="121920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9DD240-A3B9-48B8-A1C0-51FA5A09E09E}" type="TxLink">
            <a:rPr lang="en-US" sz="3600" b="1" i="0" u="none" strike="noStrike">
              <a:solidFill>
                <a:sysClr val="windowText" lastClr="000000"/>
              </a:solidFill>
              <a:latin typeface="Times New Roman" panose="02020603050405020304" pitchFamily="18" charset="0"/>
              <a:cs typeface="Times New Roman" panose="02020603050405020304" pitchFamily="18" charset="0"/>
            </a:rPr>
            <a:pPr algn="ctr"/>
            <a:t>86%</a:t>
          </a:fld>
          <a:endParaRPr lang="en-US" sz="36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21</xdr:col>
      <xdr:colOff>19050</xdr:colOff>
      <xdr:row>13</xdr:row>
      <xdr:rowOff>171450</xdr:rowOff>
    </xdr:from>
    <xdr:to>
      <xdr:col>24</xdr:col>
      <xdr:colOff>333376</xdr:colOff>
      <xdr:row>27</xdr:row>
      <xdr:rowOff>47625</xdr:rowOff>
    </xdr:to>
    <xdr:graphicFrame macro="">
      <xdr:nvGraphicFramePr>
        <xdr:cNvPr id="30" name="Chart 1">
          <a:extLst>
            <a:ext uri="{FF2B5EF4-FFF2-40B4-BE49-F238E27FC236}">
              <a16:creationId xmlns:a16="http://schemas.microsoft.com/office/drawing/2014/main" id="{00000000-0008-0000-02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533400</xdr:colOff>
      <xdr:row>18</xdr:row>
      <xdr:rowOff>57150</xdr:rowOff>
    </xdr:from>
    <xdr:to>
      <xdr:col>23</xdr:col>
      <xdr:colOff>419100</xdr:colOff>
      <xdr:row>22</xdr:row>
      <xdr:rowOff>38100</xdr:rowOff>
    </xdr:to>
    <xdr:sp macro="" textlink="PivotTable!B27">
      <xdr:nvSpPr>
        <xdr:cNvPr id="31" name="TextBox 30">
          <a:extLst>
            <a:ext uri="{FF2B5EF4-FFF2-40B4-BE49-F238E27FC236}">
              <a16:creationId xmlns:a16="http://schemas.microsoft.com/office/drawing/2014/main" id="{00000000-0008-0000-0200-00001F000000}"/>
            </a:ext>
          </a:extLst>
        </xdr:cNvPr>
        <xdr:cNvSpPr txBox="1"/>
      </xdr:nvSpPr>
      <xdr:spPr>
        <a:xfrm>
          <a:off x="14535150" y="3486150"/>
          <a:ext cx="121920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D40F00-0155-413B-B5FC-5D38148DB07E}" type="TxLink">
            <a:rPr lang="en-US" sz="3600" b="1" i="0" u="none" strike="noStrike">
              <a:solidFill>
                <a:sysClr val="windowText" lastClr="000000"/>
              </a:solidFill>
              <a:latin typeface="Times New Roman" panose="02020603050405020304" pitchFamily="18" charset="0"/>
              <a:cs typeface="Times New Roman" panose="02020603050405020304" pitchFamily="18" charset="0"/>
            </a:rPr>
            <a:pPr algn="ctr"/>
            <a:t>85%</a:t>
          </a:fld>
          <a:endParaRPr lang="en-US" sz="96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31</xdr:col>
      <xdr:colOff>457200</xdr:colOff>
      <xdr:row>13</xdr:row>
      <xdr:rowOff>133350</xdr:rowOff>
    </xdr:from>
    <xdr:to>
      <xdr:col>35</xdr:col>
      <xdr:colOff>104776</xdr:colOff>
      <xdr:row>27</xdr:row>
      <xdr:rowOff>9525</xdr:rowOff>
    </xdr:to>
    <xdr:graphicFrame macro="">
      <xdr:nvGraphicFramePr>
        <xdr:cNvPr id="32" name="Chart 1">
          <a:extLst>
            <a:ext uri="{FF2B5EF4-FFF2-40B4-BE49-F238E27FC236}">
              <a16:creationId xmlns:a16="http://schemas.microsoft.com/office/drawing/2014/main" id="{00000000-0008-0000-02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41</xdr:col>
      <xdr:colOff>400050</xdr:colOff>
      <xdr:row>13</xdr:row>
      <xdr:rowOff>152400</xdr:rowOff>
    </xdr:from>
    <xdr:to>
      <xdr:col>45</xdr:col>
      <xdr:colOff>47626</xdr:colOff>
      <xdr:row>27</xdr:row>
      <xdr:rowOff>28575</xdr:rowOff>
    </xdr:to>
    <xdr:graphicFrame macro="">
      <xdr:nvGraphicFramePr>
        <xdr:cNvPr id="33" name="Chart 1">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457200</xdr:colOff>
      <xdr:row>28</xdr:row>
      <xdr:rowOff>76200</xdr:rowOff>
    </xdr:from>
    <xdr:to>
      <xdr:col>19</xdr:col>
      <xdr:colOff>19050</xdr:colOff>
      <xdr:row>53</xdr:row>
      <xdr:rowOff>171450</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152400</xdr:colOff>
      <xdr:row>28</xdr:row>
      <xdr:rowOff>114300</xdr:rowOff>
    </xdr:from>
    <xdr:to>
      <xdr:col>34</xdr:col>
      <xdr:colOff>285750</xdr:colOff>
      <xdr:row>52</xdr:row>
      <xdr:rowOff>171450</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533400</xdr:colOff>
      <xdr:row>55</xdr:row>
      <xdr:rowOff>19050</xdr:rowOff>
    </xdr:from>
    <xdr:to>
      <xdr:col>34</xdr:col>
      <xdr:colOff>190500</xdr:colOff>
      <xdr:row>82</xdr:row>
      <xdr:rowOff>57150</xdr:rowOff>
    </xdr:to>
    <xdr:graphicFrame macro="">
      <xdr:nvGraphicFramePr>
        <xdr:cNvPr id="37" name="Chart 36">
          <a:extLst>
            <a:ext uri="{FF2B5EF4-FFF2-40B4-BE49-F238E27FC236}">
              <a16:creationId xmlns:a16="http://schemas.microsoft.com/office/drawing/2014/main" id="{00000000-0008-0000-02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38100</xdr:colOff>
      <xdr:row>55</xdr:row>
      <xdr:rowOff>171450</xdr:rowOff>
    </xdr:from>
    <xdr:to>
      <xdr:col>19</xdr:col>
      <xdr:colOff>190500</xdr:colOff>
      <xdr:row>81</xdr:row>
      <xdr:rowOff>0</xdr:rowOff>
    </xdr:to>
    <mc:AlternateContent xmlns:mc="http://schemas.openxmlformats.org/markup-compatibility/2006">
      <mc:Choice xmlns:cx2="http://schemas.microsoft.com/office/drawing/2015/10/21/chartex" Requires="cx2">
        <xdr:graphicFrame macro="">
          <xdr:nvGraphicFramePr>
            <xdr:cNvPr id="29" name="Chart 28">
              <a:extLst>
                <a:ext uri="{FF2B5EF4-FFF2-40B4-BE49-F238E27FC236}">
                  <a16:creationId xmlns:a16="http://schemas.microsoft.com/office/drawing/2014/main" id="{5F328A2C-02A7-4058-9FFB-94203881594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3048000" y="10229850"/>
              <a:ext cx="8580120" cy="458343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34</xdr:col>
      <xdr:colOff>552450</xdr:colOff>
      <xdr:row>28</xdr:row>
      <xdr:rowOff>133350</xdr:rowOff>
    </xdr:from>
    <xdr:to>
      <xdr:col>45</xdr:col>
      <xdr:colOff>457200</xdr:colOff>
      <xdr:row>82</xdr:row>
      <xdr:rowOff>0</xdr:rowOff>
    </xdr:to>
    <mc:AlternateContent xmlns:mc="http://schemas.openxmlformats.org/markup-compatibility/2006">
      <mc:Choice xmlns:cx4="http://schemas.microsoft.com/office/drawing/2016/5/10/chartex" Requires="cx4">
        <xdr:graphicFrame macro="">
          <xdr:nvGraphicFramePr>
            <xdr:cNvPr id="36" name="Chart 35">
              <a:extLst>
                <a:ext uri="{FF2B5EF4-FFF2-40B4-BE49-F238E27FC236}">
                  <a16:creationId xmlns:a16="http://schemas.microsoft.com/office/drawing/2014/main" id="{A77E6C12-1CE6-4E76-ABDB-0FA4F02233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21019770" y="5253990"/>
              <a:ext cx="6526530" cy="974217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361950</xdr:colOff>
      <xdr:row>35</xdr:row>
      <xdr:rowOff>120650</xdr:rowOff>
    </xdr:from>
    <xdr:to>
      <xdr:col>4</xdr:col>
      <xdr:colOff>316230</xdr:colOff>
      <xdr:row>83</xdr:row>
      <xdr:rowOff>0</xdr:rowOff>
    </xdr:to>
    <mc:AlternateContent xmlns:mc="http://schemas.openxmlformats.org/markup-compatibility/2006">
      <mc:Choice xmlns:a14="http://schemas.microsoft.com/office/drawing/2010/main" Requires="a14">
        <xdr:graphicFrame macro="">
          <xdr:nvGraphicFramePr>
            <xdr:cNvPr id="38" name="Month 1">
              <a:extLst>
                <a:ext uri="{FF2B5EF4-FFF2-40B4-BE49-F238E27FC236}">
                  <a16:creationId xmlns:a16="http://schemas.microsoft.com/office/drawing/2014/main" id="{20E8B1B8-1219-4786-A9FC-89BD97A0E6B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361950" y="6343650"/>
              <a:ext cx="2392680" cy="8413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285750</xdr:colOff>
      <xdr:row>15</xdr:row>
      <xdr:rowOff>114301</xdr:rowOff>
    </xdr:from>
    <xdr:to>
      <xdr:col>4</xdr:col>
      <xdr:colOff>167640</xdr:colOff>
      <xdr:row>33</xdr:row>
      <xdr:rowOff>76200</xdr:rowOff>
    </xdr:to>
    <mc:AlternateContent xmlns:mc="http://schemas.openxmlformats.org/markup-compatibility/2006" xmlns:a14="http://schemas.microsoft.com/office/drawing/2010/main">
      <mc:Choice Requires="a14">
        <xdr:graphicFrame macro="">
          <xdr:nvGraphicFramePr>
            <xdr:cNvPr id="39" name="Quarter 1">
              <a:extLst>
                <a:ext uri="{FF2B5EF4-FFF2-40B4-BE49-F238E27FC236}">
                  <a16:creationId xmlns:a16="http://schemas.microsoft.com/office/drawing/2014/main" id="{26715ADD-CDCE-4962-B9C3-C537E54EB5ED}"/>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285750" y="2971801"/>
              <a:ext cx="2548890" cy="3390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0.11523</cdr:x>
      <cdr:y>0.41948</cdr:y>
    </cdr:from>
    <cdr:to>
      <cdr:x>0.76543</cdr:x>
      <cdr:y>0.65169</cdr:y>
    </cdr:to>
    <cdr:sp macro="" textlink="">
      <cdr:nvSpPr>
        <cdr:cNvPr id="2" name="TextBox 1"/>
        <cdr:cNvSpPr txBox="1"/>
      </cdr:nvSpPr>
      <cdr:spPr>
        <a:xfrm xmlns:a="http://schemas.openxmlformats.org/drawingml/2006/main">
          <a:off x="266700" y="1066800"/>
          <a:ext cx="1504950" cy="590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4.xml><?xml version="1.0" encoding="utf-8"?>
<c:userShapes xmlns:c="http://schemas.openxmlformats.org/drawingml/2006/chart">
  <cdr:relSizeAnchor xmlns:cdr="http://schemas.openxmlformats.org/drawingml/2006/chartDrawing">
    <cdr:from>
      <cdr:x>0.11523</cdr:x>
      <cdr:y>0.41948</cdr:y>
    </cdr:from>
    <cdr:to>
      <cdr:x>0.76543</cdr:x>
      <cdr:y>0.65169</cdr:y>
    </cdr:to>
    <cdr:sp macro="" textlink="">
      <cdr:nvSpPr>
        <cdr:cNvPr id="2" name="TextBox 1"/>
        <cdr:cNvSpPr txBox="1"/>
      </cdr:nvSpPr>
      <cdr:spPr>
        <a:xfrm xmlns:a="http://schemas.openxmlformats.org/drawingml/2006/main">
          <a:off x="266700" y="1066800"/>
          <a:ext cx="1504950" cy="590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5.xml><?xml version="1.0" encoding="utf-8"?>
<c:userShapes xmlns:c="http://schemas.openxmlformats.org/drawingml/2006/chart">
  <cdr:relSizeAnchor xmlns:cdr="http://schemas.openxmlformats.org/drawingml/2006/chartDrawing">
    <cdr:from>
      <cdr:x>0.11523</cdr:x>
      <cdr:y>0.41948</cdr:y>
    </cdr:from>
    <cdr:to>
      <cdr:x>0.76543</cdr:x>
      <cdr:y>0.65169</cdr:y>
    </cdr:to>
    <cdr:sp macro="" textlink="">
      <cdr:nvSpPr>
        <cdr:cNvPr id="2" name="TextBox 1"/>
        <cdr:cNvSpPr txBox="1"/>
      </cdr:nvSpPr>
      <cdr:spPr>
        <a:xfrm xmlns:a="http://schemas.openxmlformats.org/drawingml/2006/main">
          <a:off x="266700" y="1066800"/>
          <a:ext cx="1504950" cy="590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0.24417</cdr:x>
      <cdr:y>0.34207</cdr:y>
    </cdr:from>
    <cdr:to>
      <cdr:x>0.77092</cdr:x>
      <cdr:y>0.63421</cdr:y>
    </cdr:to>
    <cdr:sp macro="" textlink="PivotTable!$B$29">
      <cdr:nvSpPr>
        <cdr:cNvPr id="3" name="TextBox 30"/>
        <cdr:cNvSpPr txBox="1"/>
      </cdr:nvSpPr>
      <cdr:spPr>
        <a:xfrm xmlns:a="http://schemas.openxmlformats.org/drawingml/2006/main">
          <a:off x="565150" y="869950"/>
          <a:ext cx="1219200" cy="74295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FC5102C3-A8B1-4710-B1C1-8A6DE81DCAC0}" type="TxLink">
            <a:rPr lang="en-US" sz="3600" b="1" i="0" u="none" strike="noStrike">
              <a:solidFill>
                <a:srgbClr val="000000"/>
              </a:solidFill>
              <a:latin typeface="Times New Roman" panose="02020603050405020304" pitchFamily="18" charset="0"/>
              <a:cs typeface="Times New Roman" panose="02020603050405020304" pitchFamily="18" charset="0"/>
            </a:rPr>
            <a:pPr algn="ctr"/>
            <a:t>84%</a:t>
          </a:fld>
          <a:endParaRPr lang="en-US" sz="59500" b="1">
            <a:solidFill>
              <a:sysClr val="windowText" lastClr="000000"/>
            </a:solidFill>
            <a:latin typeface="Times New Roman" panose="02020603050405020304" pitchFamily="18" charset="0"/>
            <a:cs typeface="Times New Roman" panose="02020603050405020304" pitchFamily="18"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0.11523</cdr:x>
      <cdr:y>0.41948</cdr:y>
    </cdr:from>
    <cdr:to>
      <cdr:x>0.76543</cdr:x>
      <cdr:y>0.65169</cdr:y>
    </cdr:to>
    <cdr:sp macro="" textlink="">
      <cdr:nvSpPr>
        <cdr:cNvPr id="2" name="TextBox 1"/>
        <cdr:cNvSpPr txBox="1"/>
      </cdr:nvSpPr>
      <cdr:spPr>
        <a:xfrm xmlns:a="http://schemas.openxmlformats.org/drawingml/2006/main">
          <a:off x="266700" y="1066800"/>
          <a:ext cx="1504950" cy="590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0.24417</cdr:x>
      <cdr:y>0.34207</cdr:y>
    </cdr:from>
    <cdr:to>
      <cdr:x>0.77092</cdr:x>
      <cdr:y>0.63421</cdr:y>
    </cdr:to>
    <cdr:sp macro="" textlink="PivotTable!$B$31">
      <cdr:nvSpPr>
        <cdr:cNvPr id="3" name="TextBox 30"/>
        <cdr:cNvSpPr txBox="1"/>
      </cdr:nvSpPr>
      <cdr:spPr>
        <a:xfrm xmlns:a="http://schemas.openxmlformats.org/drawingml/2006/main">
          <a:off x="565150" y="869950"/>
          <a:ext cx="1219200" cy="74295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5FF3DF16-15B9-4AA1-8F81-11FCC42DAF5B}" type="TxLink">
            <a:rPr lang="en-US" sz="3600" b="1" i="0" u="none" strike="noStrike">
              <a:solidFill>
                <a:srgbClr val="000000"/>
              </a:solidFill>
              <a:latin typeface="Times New Roman" panose="02020603050405020304" pitchFamily="18" charset="0"/>
              <a:cs typeface="Times New Roman" panose="02020603050405020304" pitchFamily="18" charset="0"/>
            </a:rPr>
            <a:pPr algn="ctr"/>
            <a:t>94%</a:t>
          </a:fld>
          <a:endParaRPr lang="en-US" sz="333300" b="1">
            <a:solidFill>
              <a:sysClr val="windowText" lastClr="000000"/>
            </a:solidFill>
            <a:latin typeface="Times New Roman" panose="02020603050405020304" pitchFamily="18" charset="0"/>
            <a:cs typeface="Times New Roman" panose="02020603050405020304" pitchFamily="18" charset="0"/>
          </a:endParaRP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64770</xdr:rowOff>
    </xdr:from>
    <xdr:to>
      <xdr:col>45</xdr:col>
      <xdr:colOff>628650</xdr:colOff>
      <xdr:row>74</xdr:row>
      <xdr:rowOff>102870</xdr:rowOff>
    </xdr:to>
    <xdr:sp macro="" textlink="">
      <xdr:nvSpPr>
        <xdr:cNvPr id="2" name="Rectangle 1">
          <a:extLst>
            <a:ext uri="{FF2B5EF4-FFF2-40B4-BE49-F238E27FC236}">
              <a16:creationId xmlns:a16="http://schemas.microsoft.com/office/drawing/2014/main" id="{00000000-0008-0000-0300-000002000000}"/>
            </a:ext>
          </a:extLst>
        </xdr:cNvPr>
        <xdr:cNvSpPr/>
      </xdr:nvSpPr>
      <xdr:spPr>
        <a:xfrm>
          <a:off x="0" y="64770"/>
          <a:ext cx="30632400" cy="15544800"/>
        </a:xfrm>
        <a:prstGeom prst="rect">
          <a:avLst/>
        </a:prstGeom>
        <a:solidFill>
          <a:schemeClr val="accent3">
            <a:lumMod val="20000"/>
            <a:lumOff val="80000"/>
          </a:schemeClr>
        </a:solidFill>
        <a:ln>
          <a:solidFill>
            <a:schemeClr val="accent3">
              <a:lumMod val="40000"/>
              <a:lumOff val="6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88900</xdr:colOff>
      <xdr:row>0</xdr:row>
      <xdr:rowOff>168275</xdr:rowOff>
    </xdr:from>
    <xdr:to>
      <xdr:col>4</xdr:col>
      <xdr:colOff>402844</xdr:colOff>
      <xdr:row>10</xdr:row>
      <xdr:rowOff>121031</xdr:rowOff>
    </xdr:to>
    <xdr:sp macro="" textlink="">
      <xdr:nvSpPr>
        <xdr:cNvPr id="3" name="Rounded Rectangle 2">
          <a:extLst>
            <a:ext uri="{FF2B5EF4-FFF2-40B4-BE49-F238E27FC236}">
              <a16:creationId xmlns:a16="http://schemas.microsoft.com/office/drawing/2014/main" id="{00000000-0008-0000-0300-000003000000}"/>
            </a:ext>
          </a:extLst>
        </xdr:cNvPr>
        <xdr:cNvSpPr/>
      </xdr:nvSpPr>
      <xdr:spPr>
        <a:xfrm>
          <a:off x="88900" y="168275"/>
          <a:ext cx="2980944" cy="2048256"/>
        </a:xfrm>
        <a:prstGeom prst="roundRect">
          <a:avLst/>
        </a:prstGeom>
        <a:solidFill>
          <a:schemeClr val="bg1"/>
        </a:solidFill>
        <a:ln>
          <a:solidFill>
            <a:srgbClr val="E2F18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533400</xdr:colOff>
      <xdr:row>0</xdr:row>
      <xdr:rowOff>142875</xdr:rowOff>
    </xdr:from>
    <xdr:to>
      <xdr:col>45</xdr:col>
      <xdr:colOff>491490</xdr:colOff>
      <xdr:row>10</xdr:row>
      <xdr:rowOff>95631</xdr:rowOff>
    </xdr:to>
    <xdr:sp macro="" textlink="">
      <xdr:nvSpPr>
        <xdr:cNvPr id="4" name="Rounded Rectangle 3">
          <a:extLst>
            <a:ext uri="{FF2B5EF4-FFF2-40B4-BE49-F238E27FC236}">
              <a16:creationId xmlns:a16="http://schemas.microsoft.com/office/drawing/2014/main" id="{00000000-0008-0000-0300-000004000000}"/>
            </a:ext>
          </a:extLst>
        </xdr:cNvPr>
        <xdr:cNvSpPr/>
      </xdr:nvSpPr>
      <xdr:spPr>
        <a:xfrm>
          <a:off x="3200400" y="142875"/>
          <a:ext cx="27294840" cy="2048256"/>
        </a:xfrm>
        <a:prstGeom prst="roundRect">
          <a:avLst/>
        </a:prstGeom>
        <a:solidFill>
          <a:schemeClr val="bg1"/>
        </a:solidFill>
        <a:ln>
          <a:solidFill>
            <a:srgbClr val="E2F18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11</xdr:row>
      <xdr:rowOff>114300</xdr:rowOff>
    </xdr:from>
    <xdr:to>
      <xdr:col>4</xdr:col>
      <xdr:colOff>390144</xdr:colOff>
      <xdr:row>29</xdr:row>
      <xdr:rowOff>128016</xdr:rowOff>
    </xdr:to>
    <xdr:sp macro="" textlink="">
      <xdr:nvSpPr>
        <xdr:cNvPr id="5" name="Rounded Rectangle 4">
          <a:extLst>
            <a:ext uri="{FF2B5EF4-FFF2-40B4-BE49-F238E27FC236}">
              <a16:creationId xmlns:a16="http://schemas.microsoft.com/office/drawing/2014/main" id="{00000000-0008-0000-0300-000005000000}"/>
            </a:ext>
          </a:extLst>
        </xdr:cNvPr>
        <xdr:cNvSpPr/>
      </xdr:nvSpPr>
      <xdr:spPr>
        <a:xfrm>
          <a:off x="76200" y="2419350"/>
          <a:ext cx="2980944" cy="3785616"/>
        </a:xfrm>
        <a:prstGeom prst="roundRect">
          <a:avLst/>
        </a:prstGeom>
        <a:solidFill>
          <a:schemeClr val="bg1"/>
        </a:solidFill>
        <a:ln>
          <a:solidFill>
            <a:srgbClr val="E2F18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119126</xdr:colOff>
      <xdr:row>30</xdr:row>
      <xdr:rowOff>103124</xdr:rowOff>
    </xdr:from>
    <xdr:to>
      <xdr:col>4</xdr:col>
      <xdr:colOff>433070</xdr:colOff>
      <xdr:row>73</xdr:row>
      <xdr:rowOff>90170</xdr:rowOff>
    </xdr:to>
    <xdr:sp macro="" textlink="">
      <xdr:nvSpPr>
        <xdr:cNvPr id="6" name="Rounded Rectangle 5">
          <a:extLst>
            <a:ext uri="{FF2B5EF4-FFF2-40B4-BE49-F238E27FC236}">
              <a16:creationId xmlns:a16="http://schemas.microsoft.com/office/drawing/2014/main" id="{00000000-0008-0000-0300-000006000000}"/>
            </a:ext>
          </a:extLst>
        </xdr:cNvPr>
        <xdr:cNvSpPr/>
      </xdr:nvSpPr>
      <xdr:spPr>
        <a:xfrm rot="16200000">
          <a:off x="-2889250" y="9398000"/>
          <a:ext cx="8997696" cy="2980944"/>
        </a:xfrm>
        <a:prstGeom prst="roundRect">
          <a:avLst/>
        </a:prstGeom>
        <a:solidFill>
          <a:schemeClr val="bg1"/>
        </a:solidFill>
        <a:ln>
          <a:solidFill>
            <a:srgbClr val="E2F18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488950</xdr:colOff>
      <xdr:row>11</xdr:row>
      <xdr:rowOff>101600</xdr:rowOff>
    </xdr:from>
    <xdr:to>
      <xdr:col>14</xdr:col>
      <xdr:colOff>487426</xdr:colOff>
      <xdr:row>23</xdr:row>
      <xdr:rowOff>174752</xdr:rowOff>
    </xdr:to>
    <xdr:sp macro="" textlink="">
      <xdr:nvSpPr>
        <xdr:cNvPr id="7" name="Rounded Rectangle 6">
          <a:extLst>
            <a:ext uri="{FF2B5EF4-FFF2-40B4-BE49-F238E27FC236}">
              <a16:creationId xmlns:a16="http://schemas.microsoft.com/office/drawing/2014/main" id="{00000000-0008-0000-0300-000007000000}"/>
            </a:ext>
          </a:extLst>
        </xdr:cNvPr>
        <xdr:cNvSpPr/>
      </xdr:nvSpPr>
      <xdr:spPr>
        <a:xfrm>
          <a:off x="3155950" y="2406650"/>
          <a:ext cx="6665976" cy="2587752"/>
        </a:xfrm>
        <a:prstGeom prst="roundRect">
          <a:avLst/>
        </a:prstGeom>
        <a:solidFill>
          <a:schemeClr val="bg1"/>
        </a:solidFill>
        <a:ln>
          <a:solidFill>
            <a:srgbClr val="E2F18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660400</xdr:colOff>
      <xdr:row>11</xdr:row>
      <xdr:rowOff>82550</xdr:rowOff>
    </xdr:from>
    <xdr:to>
      <xdr:col>24</xdr:col>
      <xdr:colOff>658876</xdr:colOff>
      <xdr:row>23</xdr:row>
      <xdr:rowOff>155702</xdr:rowOff>
    </xdr:to>
    <xdr:sp macro="" textlink="">
      <xdr:nvSpPr>
        <xdr:cNvPr id="8" name="Rounded Rectangle 7">
          <a:extLst>
            <a:ext uri="{FF2B5EF4-FFF2-40B4-BE49-F238E27FC236}">
              <a16:creationId xmlns:a16="http://schemas.microsoft.com/office/drawing/2014/main" id="{00000000-0008-0000-0300-000008000000}"/>
            </a:ext>
          </a:extLst>
        </xdr:cNvPr>
        <xdr:cNvSpPr/>
      </xdr:nvSpPr>
      <xdr:spPr>
        <a:xfrm>
          <a:off x="9994900" y="2387600"/>
          <a:ext cx="6665976" cy="2587752"/>
        </a:xfrm>
        <a:prstGeom prst="roundRect">
          <a:avLst/>
        </a:prstGeom>
        <a:solidFill>
          <a:schemeClr val="bg1"/>
        </a:solidFill>
        <a:ln>
          <a:solidFill>
            <a:srgbClr val="E2F18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139700</xdr:colOff>
      <xdr:row>11</xdr:row>
      <xdr:rowOff>44450</xdr:rowOff>
    </xdr:from>
    <xdr:to>
      <xdr:col>35</xdr:col>
      <xdr:colOff>138176</xdr:colOff>
      <xdr:row>23</xdr:row>
      <xdr:rowOff>117602</xdr:rowOff>
    </xdr:to>
    <xdr:sp macro="" textlink="">
      <xdr:nvSpPr>
        <xdr:cNvPr id="9" name="Rounded Rectangle 8">
          <a:extLst>
            <a:ext uri="{FF2B5EF4-FFF2-40B4-BE49-F238E27FC236}">
              <a16:creationId xmlns:a16="http://schemas.microsoft.com/office/drawing/2014/main" id="{00000000-0008-0000-0300-000009000000}"/>
            </a:ext>
          </a:extLst>
        </xdr:cNvPr>
        <xdr:cNvSpPr/>
      </xdr:nvSpPr>
      <xdr:spPr>
        <a:xfrm>
          <a:off x="16808450" y="2349500"/>
          <a:ext cx="6665976" cy="2587752"/>
        </a:xfrm>
        <a:prstGeom prst="roundRect">
          <a:avLst/>
        </a:prstGeom>
        <a:solidFill>
          <a:schemeClr val="bg1"/>
        </a:solidFill>
        <a:ln>
          <a:solidFill>
            <a:srgbClr val="E2F18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35</xdr:col>
      <xdr:colOff>285750</xdr:colOff>
      <xdr:row>11</xdr:row>
      <xdr:rowOff>44450</xdr:rowOff>
    </xdr:from>
    <xdr:to>
      <xdr:col>45</xdr:col>
      <xdr:colOff>284226</xdr:colOff>
      <xdr:row>23</xdr:row>
      <xdr:rowOff>117602</xdr:rowOff>
    </xdr:to>
    <xdr:sp macro="" textlink="">
      <xdr:nvSpPr>
        <xdr:cNvPr id="10" name="Rounded Rectangle 9">
          <a:extLst>
            <a:ext uri="{FF2B5EF4-FFF2-40B4-BE49-F238E27FC236}">
              <a16:creationId xmlns:a16="http://schemas.microsoft.com/office/drawing/2014/main" id="{00000000-0008-0000-0300-00000A000000}"/>
            </a:ext>
          </a:extLst>
        </xdr:cNvPr>
        <xdr:cNvSpPr/>
      </xdr:nvSpPr>
      <xdr:spPr>
        <a:xfrm>
          <a:off x="23622000" y="2349500"/>
          <a:ext cx="6665976" cy="2587752"/>
        </a:xfrm>
        <a:prstGeom prst="roundRect">
          <a:avLst/>
        </a:prstGeom>
        <a:solidFill>
          <a:schemeClr val="bg1"/>
        </a:solidFill>
        <a:ln>
          <a:solidFill>
            <a:srgbClr val="E2F18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571500</xdr:colOff>
      <xdr:row>24</xdr:row>
      <xdr:rowOff>127000</xdr:rowOff>
    </xdr:from>
    <xdr:to>
      <xdr:col>19</xdr:col>
      <xdr:colOff>381762</xdr:colOff>
      <xdr:row>48</xdr:row>
      <xdr:rowOff>172720</xdr:rowOff>
    </xdr:to>
    <xdr:sp macro="" textlink="">
      <xdr:nvSpPr>
        <xdr:cNvPr id="11" name="Rounded Rectangle 10">
          <a:extLst>
            <a:ext uri="{FF2B5EF4-FFF2-40B4-BE49-F238E27FC236}">
              <a16:creationId xmlns:a16="http://schemas.microsoft.com/office/drawing/2014/main" id="{00000000-0008-0000-0300-00000B000000}"/>
            </a:ext>
          </a:extLst>
        </xdr:cNvPr>
        <xdr:cNvSpPr/>
      </xdr:nvSpPr>
      <xdr:spPr>
        <a:xfrm>
          <a:off x="3238500" y="5156200"/>
          <a:ext cx="9811512" cy="5074920"/>
        </a:xfrm>
        <a:prstGeom prst="roundRect">
          <a:avLst/>
        </a:prstGeom>
        <a:solidFill>
          <a:schemeClr val="bg1"/>
        </a:solidFill>
        <a:ln>
          <a:solidFill>
            <a:srgbClr val="E2F18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596900</xdr:colOff>
      <xdr:row>24</xdr:row>
      <xdr:rowOff>158750</xdr:rowOff>
    </xdr:from>
    <xdr:to>
      <xdr:col>34</xdr:col>
      <xdr:colOff>407162</xdr:colOff>
      <xdr:row>48</xdr:row>
      <xdr:rowOff>204470</xdr:rowOff>
    </xdr:to>
    <xdr:sp macro="" textlink="">
      <xdr:nvSpPr>
        <xdr:cNvPr id="12" name="Rounded Rectangle 11">
          <a:extLst>
            <a:ext uri="{FF2B5EF4-FFF2-40B4-BE49-F238E27FC236}">
              <a16:creationId xmlns:a16="http://schemas.microsoft.com/office/drawing/2014/main" id="{00000000-0008-0000-0300-00000C000000}"/>
            </a:ext>
          </a:extLst>
        </xdr:cNvPr>
        <xdr:cNvSpPr/>
      </xdr:nvSpPr>
      <xdr:spPr>
        <a:xfrm>
          <a:off x="13265150" y="5187950"/>
          <a:ext cx="9811512" cy="5074920"/>
        </a:xfrm>
        <a:prstGeom prst="roundRect">
          <a:avLst/>
        </a:prstGeom>
        <a:solidFill>
          <a:schemeClr val="bg1"/>
        </a:solidFill>
        <a:ln>
          <a:solidFill>
            <a:srgbClr val="E2F18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552450</xdr:colOff>
      <xdr:row>49</xdr:row>
      <xdr:rowOff>107950</xdr:rowOff>
    </xdr:from>
    <xdr:to>
      <xdr:col>19</xdr:col>
      <xdr:colOff>457962</xdr:colOff>
      <xdr:row>73</xdr:row>
      <xdr:rowOff>153670</xdr:rowOff>
    </xdr:to>
    <xdr:sp macro="" textlink="">
      <xdr:nvSpPr>
        <xdr:cNvPr id="13" name="Rounded Rectangle 12">
          <a:extLst>
            <a:ext uri="{FF2B5EF4-FFF2-40B4-BE49-F238E27FC236}">
              <a16:creationId xmlns:a16="http://schemas.microsoft.com/office/drawing/2014/main" id="{00000000-0008-0000-0300-00000D000000}"/>
            </a:ext>
          </a:extLst>
        </xdr:cNvPr>
        <xdr:cNvSpPr/>
      </xdr:nvSpPr>
      <xdr:spPr>
        <a:xfrm>
          <a:off x="3219450" y="10375900"/>
          <a:ext cx="9906762" cy="5074920"/>
        </a:xfrm>
        <a:prstGeom prst="roundRect">
          <a:avLst/>
        </a:prstGeom>
        <a:solidFill>
          <a:schemeClr val="bg1"/>
        </a:solidFill>
        <a:ln>
          <a:solidFill>
            <a:srgbClr val="E2F18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0</xdr:colOff>
      <xdr:row>49</xdr:row>
      <xdr:rowOff>50800</xdr:rowOff>
    </xdr:from>
    <xdr:to>
      <xdr:col>34</xdr:col>
      <xdr:colOff>477012</xdr:colOff>
      <xdr:row>73</xdr:row>
      <xdr:rowOff>96520</xdr:rowOff>
    </xdr:to>
    <xdr:sp macro="" textlink="">
      <xdr:nvSpPr>
        <xdr:cNvPr id="14" name="Rounded Rectangle 13">
          <a:extLst>
            <a:ext uri="{FF2B5EF4-FFF2-40B4-BE49-F238E27FC236}">
              <a16:creationId xmlns:a16="http://schemas.microsoft.com/office/drawing/2014/main" id="{00000000-0008-0000-0300-00000E000000}"/>
            </a:ext>
          </a:extLst>
        </xdr:cNvPr>
        <xdr:cNvSpPr/>
      </xdr:nvSpPr>
      <xdr:spPr>
        <a:xfrm>
          <a:off x="13335000" y="10318750"/>
          <a:ext cx="9811512" cy="5074920"/>
        </a:xfrm>
        <a:prstGeom prst="roundRect">
          <a:avLst/>
        </a:prstGeom>
        <a:solidFill>
          <a:schemeClr val="bg1"/>
        </a:solidFill>
        <a:ln>
          <a:solidFill>
            <a:srgbClr val="E2F18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34</xdr:col>
      <xdr:colOff>552450</xdr:colOff>
      <xdr:row>24</xdr:row>
      <xdr:rowOff>114300</xdr:rowOff>
    </xdr:from>
    <xdr:to>
      <xdr:col>45</xdr:col>
      <xdr:colOff>551688</xdr:colOff>
      <xdr:row>73</xdr:row>
      <xdr:rowOff>41910</xdr:rowOff>
    </xdr:to>
    <xdr:sp macro="" textlink="">
      <xdr:nvSpPr>
        <xdr:cNvPr id="15" name="Rounded Rectangle 14">
          <a:extLst>
            <a:ext uri="{FF2B5EF4-FFF2-40B4-BE49-F238E27FC236}">
              <a16:creationId xmlns:a16="http://schemas.microsoft.com/office/drawing/2014/main" id="{00000000-0008-0000-0300-00000F000000}"/>
            </a:ext>
          </a:extLst>
        </xdr:cNvPr>
        <xdr:cNvSpPr/>
      </xdr:nvSpPr>
      <xdr:spPr>
        <a:xfrm>
          <a:off x="23221950" y="5143500"/>
          <a:ext cx="7333488" cy="10195560"/>
        </a:xfrm>
        <a:prstGeom prst="roundRect">
          <a:avLst/>
        </a:prstGeom>
        <a:solidFill>
          <a:schemeClr val="bg1"/>
        </a:solidFill>
        <a:ln>
          <a:solidFill>
            <a:srgbClr val="E2F18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304800</xdr:colOff>
      <xdr:row>1</xdr:row>
      <xdr:rowOff>76200</xdr:rowOff>
    </xdr:from>
    <xdr:to>
      <xdr:col>4</xdr:col>
      <xdr:colOff>190500</xdr:colOff>
      <xdr:row>9</xdr:row>
      <xdr:rowOff>190500</xdr:rowOff>
    </xdr:to>
    <xdr:pic>
      <xdr:nvPicPr>
        <xdr:cNvPr id="17" name="Picture 16">
          <a:extLst>
            <a:ext uri="{FF2B5EF4-FFF2-40B4-BE49-F238E27FC236}">
              <a16:creationId xmlns:a16="http://schemas.microsoft.com/office/drawing/2014/main" id="{00000000-0008-0000-0300-00001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04800" y="285750"/>
          <a:ext cx="2552700" cy="1790700"/>
        </a:xfrm>
        <a:prstGeom prst="rect">
          <a:avLst/>
        </a:prstGeom>
      </xdr:spPr>
    </xdr:pic>
    <xdr:clientData/>
  </xdr:twoCellAnchor>
  <xdr:twoCellAnchor editAs="oneCell">
    <xdr:from>
      <xdr:col>42</xdr:col>
      <xdr:colOff>113690</xdr:colOff>
      <xdr:row>1</xdr:row>
      <xdr:rowOff>38100</xdr:rowOff>
    </xdr:from>
    <xdr:to>
      <xdr:col>45</xdr:col>
      <xdr:colOff>56540</xdr:colOff>
      <xdr:row>10</xdr:row>
      <xdr:rowOff>95250</xdr:rowOff>
    </xdr:to>
    <xdr:pic>
      <xdr:nvPicPr>
        <xdr:cNvPr id="18" name="Picture 17">
          <a:extLst>
            <a:ext uri="{FF2B5EF4-FFF2-40B4-BE49-F238E27FC236}">
              <a16:creationId xmlns:a16="http://schemas.microsoft.com/office/drawing/2014/main" id="{00000000-0008-0000-0300-00001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117190" y="247650"/>
          <a:ext cx="1943100" cy="1943100"/>
        </a:xfrm>
        <a:prstGeom prst="rect">
          <a:avLst/>
        </a:prstGeom>
      </xdr:spPr>
    </xdr:pic>
    <xdr:clientData/>
  </xdr:twoCellAnchor>
  <xdr:twoCellAnchor>
    <xdr:from>
      <xdr:col>14</xdr:col>
      <xdr:colOff>514350</xdr:colOff>
      <xdr:row>3</xdr:row>
      <xdr:rowOff>0</xdr:rowOff>
    </xdr:from>
    <xdr:to>
      <xdr:col>41</xdr:col>
      <xdr:colOff>133350</xdr:colOff>
      <xdr:row>7</xdr:row>
      <xdr:rowOff>133350</xdr:rowOff>
    </xdr:to>
    <xdr:sp macro="" textlink="">
      <xdr:nvSpPr>
        <xdr:cNvPr id="19" name="TextBox 18">
          <a:extLst>
            <a:ext uri="{FF2B5EF4-FFF2-40B4-BE49-F238E27FC236}">
              <a16:creationId xmlns:a16="http://schemas.microsoft.com/office/drawing/2014/main" id="{00000000-0008-0000-0300-000013000000}"/>
            </a:ext>
          </a:extLst>
        </xdr:cNvPr>
        <xdr:cNvSpPr txBox="1"/>
      </xdr:nvSpPr>
      <xdr:spPr>
        <a:xfrm>
          <a:off x="9848850" y="628650"/>
          <a:ext cx="17621250" cy="97155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fa-IR" sz="8000" b="1">
              <a:solidFill>
                <a:schemeClr val="accent1">
                  <a:lumMod val="50000"/>
                </a:schemeClr>
              </a:solidFill>
              <a:cs typeface="B Nazanin" panose="00000400000000000000" pitchFamily="2" charset="-78"/>
            </a:rPr>
            <a:t>داشبورد</a:t>
          </a:r>
          <a:r>
            <a:rPr lang="fa-IR" sz="8000" b="1" baseline="0">
              <a:solidFill>
                <a:schemeClr val="accent1">
                  <a:lumMod val="50000"/>
                </a:schemeClr>
              </a:solidFill>
              <a:cs typeface="B Nazanin" panose="00000400000000000000" pitchFamily="2" charset="-78"/>
            </a:rPr>
            <a:t> عملکرد فروش و مشتری</a:t>
          </a:r>
          <a:endParaRPr lang="en-US" sz="8000" b="1">
            <a:solidFill>
              <a:schemeClr val="accent1">
                <a:lumMod val="50000"/>
              </a:schemeClr>
            </a:solidFill>
            <a:cs typeface="B Nazanin" panose="00000400000000000000" pitchFamily="2" charset="-78"/>
          </a:endParaRPr>
        </a:p>
      </xdr:txBody>
    </xdr:sp>
    <xdr:clientData/>
  </xdr:twoCellAnchor>
  <xdr:twoCellAnchor>
    <xdr:from>
      <xdr:col>42</xdr:col>
      <xdr:colOff>133350</xdr:colOff>
      <xdr:row>12</xdr:row>
      <xdr:rowOff>38100</xdr:rowOff>
    </xdr:from>
    <xdr:to>
      <xdr:col>44</xdr:col>
      <xdr:colOff>533400</xdr:colOff>
      <xdr:row>16</xdr:row>
      <xdr:rowOff>114300</xdr:rowOff>
    </xdr:to>
    <xdr:sp macro="" textlink="">
      <xdr:nvSpPr>
        <xdr:cNvPr id="20" name="TextBox 19">
          <a:extLst>
            <a:ext uri="{FF2B5EF4-FFF2-40B4-BE49-F238E27FC236}">
              <a16:creationId xmlns:a16="http://schemas.microsoft.com/office/drawing/2014/main" id="{00000000-0008-0000-0300-000014000000}"/>
            </a:ext>
          </a:extLst>
        </xdr:cNvPr>
        <xdr:cNvSpPr txBox="1"/>
      </xdr:nvSpPr>
      <xdr:spPr>
        <a:xfrm>
          <a:off x="28136850" y="2552700"/>
          <a:ext cx="1733550" cy="91440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lang="fa-IR" sz="4800" b="1">
              <a:solidFill>
                <a:sysClr val="windowText" lastClr="000000"/>
              </a:solidFill>
              <a:cs typeface="B Nazanin" panose="00000400000000000000" pitchFamily="2" charset="-78"/>
            </a:rPr>
            <a:t>فروش</a:t>
          </a:r>
          <a:endParaRPr lang="en-US" sz="4800" b="1">
            <a:solidFill>
              <a:sysClr val="windowText" lastClr="000000"/>
            </a:solidFill>
            <a:cs typeface="B Nazanin" panose="00000400000000000000" pitchFamily="2" charset="-78"/>
          </a:endParaRPr>
        </a:p>
      </xdr:txBody>
    </xdr:sp>
    <xdr:clientData/>
  </xdr:twoCellAnchor>
  <xdr:twoCellAnchor>
    <xdr:from>
      <xdr:col>32</xdr:col>
      <xdr:colOff>342900</xdr:colOff>
      <xdr:row>12</xdr:row>
      <xdr:rowOff>114300</xdr:rowOff>
    </xdr:from>
    <xdr:to>
      <xdr:col>34</xdr:col>
      <xdr:colOff>266700</xdr:colOff>
      <xdr:row>16</xdr:row>
      <xdr:rowOff>38100</xdr:rowOff>
    </xdr:to>
    <xdr:sp macro="" textlink="">
      <xdr:nvSpPr>
        <xdr:cNvPr id="21" name="TextBox 20">
          <a:extLst>
            <a:ext uri="{FF2B5EF4-FFF2-40B4-BE49-F238E27FC236}">
              <a16:creationId xmlns:a16="http://schemas.microsoft.com/office/drawing/2014/main" id="{00000000-0008-0000-0300-000015000000}"/>
            </a:ext>
          </a:extLst>
        </xdr:cNvPr>
        <xdr:cNvSpPr txBox="1"/>
      </xdr:nvSpPr>
      <xdr:spPr>
        <a:xfrm>
          <a:off x="21678900" y="2628900"/>
          <a:ext cx="1257300" cy="76200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lang="fa-IR" sz="4800" b="1">
              <a:solidFill>
                <a:schemeClr val="tx1"/>
              </a:solidFill>
              <a:cs typeface="+mj-cs"/>
            </a:rPr>
            <a:t>سود</a:t>
          </a:r>
          <a:endParaRPr lang="en-US" sz="1100" b="1">
            <a:solidFill>
              <a:schemeClr val="tx1"/>
            </a:solidFill>
            <a:cs typeface="+mj-cs"/>
          </a:endParaRPr>
        </a:p>
      </xdr:txBody>
    </xdr:sp>
    <xdr:clientData/>
  </xdr:twoCellAnchor>
  <xdr:twoCellAnchor>
    <xdr:from>
      <xdr:col>19</xdr:col>
      <xdr:colOff>514350</xdr:colOff>
      <xdr:row>12</xdr:row>
      <xdr:rowOff>114300</xdr:rowOff>
    </xdr:from>
    <xdr:to>
      <xdr:col>24</xdr:col>
      <xdr:colOff>304800</xdr:colOff>
      <xdr:row>16</xdr:row>
      <xdr:rowOff>95250</xdr:rowOff>
    </xdr:to>
    <xdr:sp macro="" textlink="">
      <xdr:nvSpPr>
        <xdr:cNvPr id="22" name="TextBox 21">
          <a:extLst>
            <a:ext uri="{FF2B5EF4-FFF2-40B4-BE49-F238E27FC236}">
              <a16:creationId xmlns:a16="http://schemas.microsoft.com/office/drawing/2014/main" id="{00000000-0008-0000-0300-000016000000}"/>
            </a:ext>
          </a:extLst>
        </xdr:cNvPr>
        <xdr:cNvSpPr txBox="1"/>
      </xdr:nvSpPr>
      <xdr:spPr>
        <a:xfrm>
          <a:off x="13182600" y="2628900"/>
          <a:ext cx="3124200" cy="81915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lang="fa-IR" sz="4800" b="1">
              <a:solidFill>
                <a:schemeClr val="tx1"/>
              </a:solidFill>
              <a:cs typeface="+mj-cs"/>
            </a:rPr>
            <a:t>تعداد مشتریان</a:t>
          </a:r>
          <a:endParaRPr lang="en-US" sz="4800" b="1">
            <a:solidFill>
              <a:schemeClr val="tx1"/>
            </a:solidFill>
            <a:cs typeface="+mj-cs"/>
          </a:endParaRPr>
        </a:p>
      </xdr:txBody>
    </xdr:sp>
    <xdr:clientData/>
  </xdr:twoCellAnchor>
  <xdr:twoCellAnchor>
    <xdr:from>
      <xdr:col>11</xdr:col>
      <xdr:colOff>228600</xdr:colOff>
      <xdr:row>12</xdr:row>
      <xdr:rowOff>152400</xdr:rowOff>
    </xdr:from>
    <xdr:to>
      <xdr:col>13</xdr:col>
      <xdr:colOff>647700</xdr:colOff>
      <xdr:row>16</xdr:row>
      <xdr:rowOff>95250</xdr:rowOff>
    </xdr:to>
    <xdr:sp macro="" textlink="">
      <xdr:nvSpPr>
        <xdr:cNvPr id="23" name="TextBox 22">
          <a:extLst>
            <a:ext uri="{FF2B5EF4-FFF2-40B4-BE49-F238E27FC236}">
              <a16:creationId xmlns:a16="http://schemas.microsoft.com/office/drawing/2014/main" id="{00000000-0008-0000-0300-000017000000}"/>
            </a:ext>
          </a:extLst>
        </xdr:cNvPr>
        <xdr:cNvSpPr txBox="1"/>
      </xdr:nvSpPr>
      <xdr:spPr>
        <a:xfrm>
          <a:off x="7562850" y="2667000"/>
          <a:ext cx="1752600" cy="78105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r>
            <a:rPr lang="fa-IR" sz="4800" b="1">
              <a:solidFill>
                <a:schemeClr val="tx1"/>
              </a:solidFill>
              <a:cs typeface="B Nazanin" panose="00000400000000000000" pitchFamily="2" charset="-78"/>
            </a:rPr>
            <a:t>هدف</a:t>
          </a:r>
          <a:endParaRPr lang="en-US" sz="4800" b="1">
            <a:solidFill>
              <a:schemeClr val="tx1"/>
            </a:solidFill>
            <a:cs typeface="B Nazanin" panose="00000400000000000000" pitchFamily="2" charset="-78"/>
          </a:endParaRPr>
        </a:p>
      </xdr:txBody>
    </xdr:sp>
    <xdr:clientData/>
  </xdr:twoCellAnchor>
  <xdr:twoCellAnchor>
    <xdr:from>
      <xdr:col>39</xdr:col>
      <xdr:colOff>628650</xdr:colOff>
      <xdr:row>17</xdr:row>
      <xdr:rowOff>76200</xdr:rowOff>
    </xdr:from>
    <xdr:to>
      <xdr:col>45</xdr:col>
      <xdr:colOff>38100</xdr:colOff>
      <xdr:row>21</xdr:row>
      <xdr:rowOff>0</xdr:rowOff>
    </xdr:to>
    <xdr:sp macro="" textlink="PivotTable!B35">
      <xdr:nvSpPr>
        <xdr:cNvPr id="24" name="TextBox 23">
          <a:extLst>
            <a:ext uri="{FF2B5EF4-FFF2-40B4-BE49-F238E27FC236}">
              <a16:creationId xmlns:a16="http://schemas.microsoft.com/office/drawing/2014/main" id="{00000000-0008-0000-0300-000018000000}"/>
            </a:ext>
          </a:extLst>
        </xdr:cNvPr>
        <xdr:cNvSpPr txBox="1"/>
      </xdr:nvSpPr>
      <xdr:spPr>
        <a:xfrm>
          <a:off x="26631900" y="3638550"/>
          <a:ext cx="3409950" cy="76200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423BB7-62C3-4360-B680-C448C694F135}" type="TxLink">
            <a:rPr lang="en-US" sz="4800" b="1" i="0" u="none" strike="noStrike">
              <a:solidFill>
                <a:srgbClr val="000000"/>
              </a:solidFill>
              <a:latin typeface="Times New Roman"/>
              <a:cs typeface="B Nazanin" panose="00000400000000000000" pitchFamily="2" charset="-78"/>
            </a:rPr>
            <a:pPr algn="ctr"/>
            <a:t> $157,361 </a:t>
          </a:fld>
          <a:endParaRPr lang="en-US" sz="4800" b="1">
            <a:cs typeface="B Nazanin" panose="00000400000000000000" pitchFamily="2" charset="-78"/>
          </a:endParaRPr>
        </a:p>
      </xdr:txBody>
    </xdr:sp>
    <xdr:clientData/>
  </xdr:twoCellAnchor>
  <xdr:twoCellAnchor>
    <xdr:from>
      <xdr:col>29</xdr:col>
      <xdr:colOff>0</xdr:colOff>
      <xdr:row>15</xdr:row>
      <xdr:rowOff>190500</xdr:rowOff>
    </xdr:from>
    <xdr:to>
      <xdr:col>33</xdr:col>
      <xdr:colOff>476250</xdr:colOff>
      <xdr:row>20</xdr:row>
      <xdr:rowOff>190500</xdr:rowOff>
    </xdr:to>
    <xdr:sp macro="" textlink="PivotTable!B36">
      <xdr:nvSpPr>
        <xdr:cNvPr id="25" name="TextBox 24">
          <a:extLst>
            <a:ext uri="{FF2B5EF4-FFF2-40B4-BE49-F238E27FC236}">
              <a16:creationId xmlns:a16="http://schemas.microsoft.com/office/drawing/2014/main" id="{00000000-0008-0000-0300-000019000000}"/>
            </a:ext>
          </a:extLst>
        </xdr:cNvPr>
        <xdr:cNvSpPr txBox="1"/>
      </xdr:nvSpPr>
      <xdr:spPr>
        <a:xfrm>
          <a:off x="19335750" y="3333750"/>
          <a:ext cx="3143250" cy="104775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DD0C14B-F655-4624-A46D-12300D72D8B3}" type="TxLink">
            <a:rPr lang="en-US" sz="4800" b="1" i="0" u="none" strike="noStrike">
              <a:solidFill>
                <a:srgbClr val="000000"/>
              </a:solidFill>
              <a:latin typeface="Times New Roman"/>
              <a:cs typeface="B Nazanin" panose="00000400000000000000" pitchFamily="2" charset="-78"/>
            </a:rPr>
            <a:pPr algn="ctr"/>
            <a:t> $113,301 </a:t>
          </a:fld>
          <a:endParaRPr lang="en-US" sz="4800" b="1">
            <a:cs typeface="B Nazanin" panose="00000400000000000000" pitchFamily="2" charset="-78"/>
          </a:endParaRPr>
        </a:p>
      </xdr:txBody>
    </xdr:sp>
    <xdr:clientData/>
  </xdr:twoCellAnchor>
  <xdr:twoCellAnchor>
    <xdr:from>
      <xdr:col>18</xdr:col>
      <xdr:colOff>304800</xdr:colOff>
      <xdr:row>16</xdr:row>
      <xdr:rowOff>171450</xdr:rowOff>
    </xdr:from>
    <xdr:to>
      <xdr:col>22</xdr:col>
      <xdr:colOff>304800</xdr:colOff>
      <xdr:row>21</xdr:row>
      <xdr:rowOff>19050</xdr:rowOff>
    </xdr:to>
    <xdr:sp macro="" textlink="PivotTable!B37">
      <xdr:nvSpPr>
        <xdr:cNvPr id="26" name="TextBox 25">
          <a:extLst>
            <a:ext uri="{FF2B5EF4-FFF2-40B4-BE49-F238E27FC236}">
              <a16:creationId xmlns:a16="http://schemas.microsoft.com/office/drawing/2014/main" id="{00000000-0008-0000-0300-00001A000000}"/>
            </a:ext>
          </a:extLst>
        </xdr:cNvPr>
        <xdr:cNvSpPr txBox="1"/>
      </xdr:nvSpPr>
      <xdr:spPr>
        <a:xfrm>
          <a:off x="12306300" y="3524250"/>
          <a:ext cx="2667000" cy="89535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961BD3-EC35-4900-8686-37A2CE09341E}" type="TxLink">
            <a:rPr lang="en-US" sz="4800" b="1" i="0" u="none" strike="noStrike">
              <a:solidFill>
                <a:srgbClr val="000000"/>
              </a:solidFill>
              <a:latin typeface="Times New Roman"/>
              <a:cs typeface="B Nazanin" panose="00000400000000000000" pitchFamily="2" charset="-78"/>
            </a:rPr>
            <a:pPr algn="ctr"/>
            <a:t>9360</a:t>
          </a:fld>
          <a:endParaRPr lang="en-US" sz="4800" b="1">
            <a:cs typeface="B Nazanin" panose="00000400000000000000" pitchFamily="2" charset="-78"/>
          </a:endParaRPr>
        </a:p>
      </xdr:txBody>
    </xdr:sp>
    <xdr:clientData/>
  </xdr:twoCellAnchor>
  <xdr:twoCellAnchor>
    <xdr:from>
      <xdr:col>8</xdr:col>
      <xdr:colOff>381000</xdr:colOff>
      <xdr:row>16</xdr:row>
      <xdr:rowOff>76200</xdr:rowOff>
    </xdr:from>
    <xdr:to>
      <xdr:col>12</xdr:col>
      <xdr:colOff>647700</xdr:colOff>
      <xdr:row>20</xdr:row>
      <xdr:rowOff>171450</xdr:rowOff>
    </xdr:to>
    <xdr:sp macro="" textlink="PivotTable!B38">
      <xdr:nvSpPr>
        <xdr:cNvPr id="27" name="TextBox 26">
          <a:extLst>
            <a:ext uri="{FF2B5EF4-FFF2-40B4-BE49-F238E27FC236}">
              <a16:creationId xmlns:a16="http://schemas.microsoft.com/office/drawing/2014/main" id="{00000000-0008-0000-0300-00001B000000}"/>
            </a:ext>
          </a:extLst>
        </xdr:cNvPr>
        <xdr:cNvSpPr txBox="1"/>
      </xdr:nvSpPr>
      <xdr:spPr>
        <a:xfrm>
          <a:off x="5715000" y="3429000"/>
          <a:ext cx="2933700" cy="93345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62A1B0-B50A-41C3-A0BD-40CF113CDD77}" type="TxLink">
            <a:rPr lang="en-US" sz="4800" b="1" i="0" u="none" strike="noStrike">
              <a:solidFill>
                <a:srgbClr val="000000"/>
              </a:solidFill>
              <a:latin typeface="Times New Roman" panose="02020603050405020304" pitchFamily="18" charset="0"/>
              <a:cs typeface="B Nazanin" panose="00000400000000000000" pitchFamily="2" charset="-78"/>
            </a:rPr>
            <a:pPr algn="ctr"/>
            <a:t> $166,999 </a:t>
          </a:fld>
          <a:endParaRPr lang="en-US" sz="4800" b="1">
            <a:latin typeface="Times New Roman" panose="02020603050405020304" pitchFamily="18" charset="0"/>
            <a:cs typeface="B Nazanin" panose="00000400000000000000" pitchFamily="2" charset="-78"/>
          </a:endParaRPr>
        </a:p>
      </xdr:txBody>
    </xdr:sp>
    <xdr:clientData/>
  </xdr:twoCellAnchor>
  <xdr:twoCellAnchor>
    <xdr:from>
      <xdr:col>36</xdr:col>
      <xdr:colOff>209550</xdr:colOff>
      <xdr:row>11</xdr:row>
      <xdr:rowOff>57150</xdr:rowOff>
    </xdr:from>
    <xdr:to>
      <xdr:col>39</xdr:col>
      <xdr:colOff>523876</xdr:colOff>
      <xdr:row>23</xdr:row>
      <xdr:rowOff>85725</xdr:rowOff>
    </xdr:to>
    <xdr:graphicFrame macro="">
      <xdr:nvGraphicFramePr>
        <xdr:cNvPr id="28" name="Chart 1">
          <a:extLst>
            <a:ext uri="{FF2B5EF4-FFF2-40B4-BE49-F238E27FC236}">
              <a16:creationId xmlns:a16="http://schemas.microsoft.com/office/drawing/2014/main" id="{00000000-0008-0000-03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37</xdr:col>
      <xdr:colOff>57150</xdr:colOff>
      <xdr:row>15</xdr:row>
      <xdr:rowOff>114300</xdr:rowOff>
    </xdr:from>
    <xdr:to>
      <xdr:col>38</xdr:col>
      <xdr:colOff>609600</xdr:colOff>
      <xdr:row>19</xdr:row>
      <xdr:rowOff>19050</xdr:rowOff>
    </xdr:to>
    <xdr:sp macro="" textlink="PivotTable!B25">
      <xdr:nvSpPr>
        <xdr:cNvPr id="29" name="TextBox 28">
          <a:extLst>
            <a:ext uri="{FF2B5EF4-FFF2-40B4-BE49-F238E27FC236}">
              <a16:creationId xmlns:a16="http://schemas.microsoft.com/office/drawing/2014/main" id="{00000000-0008-0000-0300-00001D000000}"/>
            </a:ext>
          </a:extLst>
        </xdr:cNvPr>
        <xdr:cNvSpPr txBox="1"/>
      </xdr:nvSpPr>
      <xdr:spPr>
        <a:xfrm>
          <a:off x="24726900" y="3257550"/>
          <a:ext cx="121920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9DD240-A3B9-48B8-A1C0-51FA5A09E09E}" type="TxLink">
            <a:rPr lang="en-US" sz="3600" b="1" i="0" u="none" strike="noStrike">
              <a:solidFill>
                <a:sysClr val="windowText" lastClr="000000"/>
              </a:solidFill>
              <a:latin typeface="Times New Roman" panose="02020603050405020304" pitchFamily="18" charset="0"/>
              <a:cs typeface="Times New Roman" panose="02020603050405020304" pitchFamily="18" charset="0"/>
            </a:rPr>
            <a:pPr algn="ctr"/>
            <a:t>86%</a:t>
          </a:fld>
          <a:endParaRPr lang="en-US" sz="36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25</xdr:col>
      <xdr:colOff>444500</xdr:colOff>
      <xdr:row>11</xdr:row>
      <xdr:rowOff>82550</xdr:rowOff>
    </xdr:from>
    <xdr:to>
      <xdr:col>29</xdr:col>
      <xdr:colOff>92076</xdr:colOff>
      <xdr:row>23</xdr:row>
      <xdr:rowOff>111125</xdr:rowOff>
    </xdr:to>
    <xdr:graphicFrame macro="">
      <xdr:nvGraphicFramePr>
        <xdr:cNvPr id="30" name="Chart 1">
          <a:extLst>
            <a:ext uri="{FF2B5EF4-FFF2-40B4-BE49-F238E27FC236}">
              <a16:creationId xmlns:a16="http://schemas.microsoft.com/office/drawing/2014/main" id="{00000000-0008-0000-03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234950</xdr:colOff>
      <xdr:row>15</xdr:row>
      <xdr:rowOff>171450</xdr:rowOff>
    </xdr:from>
    <xdr:to>
      <xdr:col>28</xdr:col>
      <xdr:colOff>120650</xdr:colOff>
      <xdr:row>18</xdr:row>
      <xdr:rowOff>177800</xdr:rowOff>
    </xdr:to>
    <xdr:sp macro="" textlink="PivotTable!B27">
      <xdr:nvSpPr>
        <xdr:cNvPr id="31" name="TextBox 30">
          <a:extLst>
            <a:ext uri="{FF2B5EF4-FFF2-40B4-BE49-F238E27FC236}">
              <a16:creationId xmlns:a16="http://schemas.microsoft.com/office/drawing/2014/main" id="{00000000-0008-0000-0300-00001F000000}"/>
            </a:ext>
          </a:extLst>
        </xdr:cNvPr>
        <xdr:cNvSpPr txBox="1"/>
      </xdr:nvSpPr>
      <xdr:spPr>
        <a:xfrm>
          <a:off x="17570450" y="3314700"/>
          <a:ext cx="1219200" cy="63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D40F00-0155-413B-B5FC-5D38148DB07E}" type="TxLink">
            <a:rPr lang="en-US" sz="3600" b="1" i="0" u="none" strike="noStrike">
              <a:solidFill>
                <a:sysClr val="windowText" lastClr="000000"/>
              </a:solidFill>
              <a:latin typeface="Times New Roman" panose="02020603050405020304" pitchFamily="18" charset="0"/>
              <a:cs typeface="Times New Roman" panose="02020603050405020304" pitchFamily="18" charset="0"/>
            </a:rPr>
            <a:pPr algn="ctr"/>
            <a:t>85%</a:t>
          </a:fld>
          <a:endParaRPr lang="en-US" sz="96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361950</xdr:colOff>
      <xdr:row>11</xdr:row>
      <xdr:rowOff>133350</xdr:rowOff>
    </xdr:from>
    <xdr:to>
      <xdr:col>19</xdr:col>
      <xdr:colOff>9526</xdr:colOff>
      <xdr:row>23</xdr:row>
      <xdr:rowOff>161925</xdr:rowOff>
    </xdr:to>
    <xdr:graphicFrame macro="">
      <xdr:nvGraphicFramePr>
        <xdr:cNvPr id="33" name="Chart 1">
          <a:extLst>
            <a:ext uri="{FF2B5EF4-FFF2-40B4-BE49-F238E27FC236}">
              <a16:creationId xmlns:a16="http://schemas.microsoft.com/office/drawing/2014/main" id="{00000000-0008-0000-03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38100</xdr:colOff>
      <xdr:row>11</xdr:row>
      <xdr:rowOff>76200</xdr:rowOff>
    </xdr:from>
    <xdr:to>
      <xdr:col>8</xdr:col>
      <xdr:colOff>352426</xdr:colOff>
      <xdr:row>23</xdr:row>
      <xdr:rowOff>104775</xdr:rowOff>
    </xdr:to>
    <xdr:graphicFrame macro="">
      <xdr:nvGraphicFramePr>
        <xdr:cNvPr id="35" name="Chart 1">
          <a:extLst>
            <a:ext uri="{FF2B5EF4-FFF2-40B4-BE49-F238E27FC236}">
              <a16:creationId xmlns:a16="http://schemas.microsoft.com/office/drawing/2014/main" id="{00000000-0008-0000-03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571500</xdr:colOff>
      <xdr:row>24</xdr:row>
      <xdr:rowOff>127000</xdr:rowOff>
    </xdr:from>
    <xdr:to>
      <xdr:col>19</xdr:col>
      <xdr:colOff>57150</xdr:colOff>
      <xdr:row>47</xdr:row>
      <xdr:rowOff>165100</xdr:rowOff>
    </xdr:to>
    <xdr:graphicFrame macro="">
      <xdr:nvGraphicFramePr>
        <xdr:cNvPr id="36" name="Chart 35">
          <a:extLst>
            <a:ext uri="{FF2B5EF4-FFF2-40B4-BE49-F238E27FC236}">
              <a16:creationId xmlns:a16="http://schemas.microsoft.com/office/drawing/2014/main" id="{00000000-0008-0000-03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596900</xdr:colOff>
      <xdr:row>24</xdr:row>
      <xdr:rowOff>101600</xdr:rowOff>
    </xdr:from>
    <xdr:to>
      <xdr:col>34</xdr:col>
      <xdr:colOff>63500</xdr:colOff>
      <xdr:row>46</xdr:row>
      <xdr:rowOff>120650</xdr:rowOff>
    </xdr:to>
    <xdr:graphicFrame macro="">
      <xdr:nvGraphicFramePr>
        <xdr:cNvPr id="37" name="Chart 36">
          <a:extLst>
            <a:ext uri="{FF2B5EF4-FFF2-40B4-BE49-F238E27FC236}">
              <a16:creationId xmlns:a16="http://schemas.microsoft.com/office/drawing/2014/main" id="{00000000-0008-0000-03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0</xdr:colOff>
      <xdr:row>49</xdr:row>
      <xdr:rowOff>50800</xdr:rowOff>
    </xdr:from>
    <xdr:to>
      <xdr:col>34</xdr:col>
      <xdr:colOff>323850</xdr:colOff>
      <xdr:row>73</xdr:row>
      <xdr:rowOff>203200</xdr:rowOff>
    </xdr:to>
    <xdr:graphicFrame macro="">
      <xdr:nvGraphicFramePr>
        <xdr:cNvPr id="39" name="Chart 38">
          <a:extLst>
            <a:ext uri="{FF2B5EF4-FFF2-40B4-BE49-F238E27FC236}">
              <a16:creationId xmlns:a16="http://schemas.microsoft.com/office/drawing/2014/main" id="{00000000-0008-0000-03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590550</xdr:colOff>
      <xdr:row>49</xdr:row>
      <xdr:rowOff>76200</xdr:rowOff>
    </xdr:from>
    <xdr:to>
      <xdr:col>19</xdr:col>
      <xdr:colOff>266700</xdr:colOff>
      <xdr:row>72</xdr:row>
      <xdr:rowOff>38100</xdr:rowOff>
    </xdr:to>
    <mc:AlternateContent xmlns:mc="http://schemas.openxmlformats.org/markup-compatibility/2006">
      <mc:Choice xmlns:cx2="http://schemas.microsoft.com/office/drawing/2015/10/21/chartex" Requires="cx2">
        <xdr:graphicFrame macro="">
          <xdr:nvGraphicFramePr>
            <xdr:cNvPr id="16" name="Chart 15">
              <a:extLst>
                <a:ext uri="{FF2B5EF4-FFF2-40B4-BE49-F238E27FC236}">
                  <a16:creationId xmlns:a16="http://schemas.microsoft.com/office/drawing/2014/main" id="{8B1DA12F-218E-4753-BCEC-82A24AE063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2998470" y="10530840"/>
              <a:ext cx="8705850" cy="48691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34</xdr:col>
      <xdr:colOff>552450</xdr:colOff>
      <xdr:row>24</xdr:row>
      <xdr:rowOff>114300</xdr:rowOff>
    </xdr:from>
    <xdr:to>
      <xdr:col>45</xdr:col>
      <xdr:colOff>457200</xdr:colOff>
      <xdr:row>73</xdr:row>
      <xdr:rowOff>0</xdr:rowOff>
    </xdr:to>
    <mc:AlternateContent xmlns:mc="http://schemas.openxmlformats.org/markup-compatibility/2006">
      <mc:Choice xmlns:cx4="http://schemas.microsoft.com/office/drawing/2016/5/10/chartex" Requires="cx4">
        <xdr:graphicFrame macro="">
          <xdr:nvGraphicFramePr>
            <xdr:cNvPr id="32" name="Chart 31">
              <a:extLst>
                <a:ext uri="{FF2B5EF4-FFF2-40B4-BE49-F238E27FC236}">
                  <a16:creationId xmlns:a16="http://schemas.microsoft.com/office/drawing/2014/main" id="{E211E83D-9516-463A-BD92-77B2E9F3CC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21019770" y="5234940"/>
              <a:ext cx="6526530" cy="103403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252476</xdr:colOff>
      <xdr:row>30</xdr:row>
      <xdr:rowOff>198374</xdr:rowOff>
    </xdr:from>
    <xdr:to>
      <xdr:col>4</xdr:col>
      <xdr:colOff>237236</xdr:colOff>
      <xdr:row>72</xdr:row>
      <xdr:rowOff>175514</xdr:rowOff>
    </xdr:to>
    <mc:AlternateContent xmlns:mc="http://schemas.openxmlformats.org/markup-compatibility/2006" xmlns:a14="http://schemas.microsoft.com/office/drawing/2010/main">
      <mc:Choice Requires="a14">
        <xdr:graphicFrame macro="">
          <xdr:nvGraphicFramePr>
            <xdr:cNvPr id="42" name="Month 2">
              <a:extLst>
                <a:ext uri="{FF2B5EF4-FFF2-40B4-BE49-F238E27FC236}">
                  <a16:creationId xmlns:a16="http://schemas.microsoft.com/office/drawing/2014/main" id="{354117CB-EFDE-4711-88F8-9DA559233D32}"/>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252476" y="6484874"/>
              <a:ext cx="2651760" cy="8778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247650</xdr:colOff>
      <xdr:row>12</xdr:row>
      <xdr:rowOff>0</xdr:rowOff>
    </xdr:from>
    <xdr:to>
      <xdr:col>4</xdr:col>
      <xdr:colOff>131826</xdr:colOff>
      <xdr:row>28</xdr:row>
      <xdr:rowOff>190500</xdr:rowOff>
    </xdr:to>
    <mc:AlternateContent xmlns:mc="http://schemas.openxmlformats.org/markup-compatibility/2006" xmlns:a14="http://schemas.microsoft.com/office/drawing/2010/main">
      <mc:Choice Requires="a14">
        <xdr:graphicFrame macro="">
          <xdr:nvGraphicFramePr>
            <xdr:cNvPr id="43" name="Quarter 2">
              <a:extLst>
                <a:ext uri="{FF2B5EF4-FFF2-40B4-BE49-F238E27FC236}">
                  <a16:creationId xmlns:a16="http://schemas.microsoft.com/office/drawing/2014/main" id="{39C829B4-4441-40B6-80CF-B1FF13017EAE}"/>
                </a:ext>
              </a:extLst>
            </xdr:cNvPr>
            <xdr:cNvGraphicFramePr/>
          </xdr:nvGraphicFramePr>
          <xdr:xfrm>
            <a:off x="0" y="0"/>
            <a:ext cx="0" cy="0"/>
          </xdr:xfrm>
          <a:graphic>
            <a:graphicData uri="http://schemas.microsoft.com/office/drawing/2010/slicer">
              <sle:slicer xmlns:sle="http://schemas.microsoft.com/office/drawing/2010/slicer" name="Quarter 2"/>
            </a:graphicData>
          </a:graphic>
        </xdr:graphicFrame>
      </mc:Choice>
      <mc:Fallback xmlns="">
        <xdr:sp macro="" textlink="">
          <xdr:nvSpPr>
            <xdr:cNvPr id="0" name=""/>
            <xdr:cNvSpPr>
              <a:spLocks noTextEdit="1"/>
            </xdr:cNvSpPr>
          </xdr:nvSpPr>
          <xdr:spPr>
            <a:xfrm>
              <a:off x="247650" y="2514600"/>
              <a:ext cx="2551176" cy="3543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c:userShapes xmlns:c="http://schemas.openxmlformats.org/drawingml/2006/chart">
  <cdr:relSizeAnchor xmlns:cdr="http://schemas.openxmlformats.org/drawingml/2006/chartDrawing">
    <cdr:from>
      <cdr:x>0.11523</cdr:x>
      <cdr:y>0.41948</cdr:y>
    </cdr:from>
    <cdr:to>
      <cdr:x>0.76543</cdr:x>
      <cdr:y>0.65169</cdr:y>
    </cdr:to>
    <cdr:sp macro="" textlink="">
      <cdr:nvSpPr>
        <cdr:cNvPr id="2" name="TextBox 1"/>
        <cdr:cNvSpPr txBox="1"/>
      </cdr:nvSpPr>
      <cdr:spPr>
        <a:xfrm xmlns:a="http://schemas.openxmlformats.org/drawingml/2006/main">
          <a:off x="266700" y="1066800"/>
          <a:ext cx="1504950" cy="590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9.xml><?xml version="1.0" encoding="utf-8"?>
<c:userShapes xmlns:c="http://schemas.openxmlformats.org/drawingml/2006/chart">
  <cdr:relSizeAnchor xmlns:cdr="http://schemas.openxmlformats.org/drawingml/2006/chartDrawing">
    <cdr:from>
      <cdr:x>0.11523</cdr:x>
      <cdr:y>0.41948</cdr:y>
    </cdr:from>
    <cdr:to>
      <cdr:x>0.76543</cdr:x>
      <cdr:y>0.65169</cdr:y>
    </cdr:to>
    <cdr:sp macro="" textlink="">
      <cdr:nvSpPr>
        <cdr:cNvPr id="2" name="TextBox 1"/>
        <cdr:cNvSpPr txBox="1"/>
      </cdr:nvSpPr>
      <cdr:spPr>
        <a:xfrm xmlns:a="http://schemas.openxmlformats.org/drawingml/2006/main">
          <a:off x="266700" y="1066800"/>
          <a:ext cx="1504950" cy="590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10.xml><?xml version="1.0" encoding="utf-8"?>
<c:userShapes xmlns:c="http://schemas.openxmlformats.org/drawingml/2006/chart">
  <cdr:relSizeAnchor xmlns:cdr="http://schemas.openxmlformats.org/drawingml/2006/chartDrawing">
    <cdr:from>
      <cdr:x>0.11523</cdr:x>
      <cdr:y>0.41948</cdr:y>
    </cdr:from>
    <cdr:to>
      <cdr:x>0.76543</cdr:x>
      <cdr:y>0.65169</cdr:y>
    </cdr:to>
    <cdr:sp macro="" textlink="">
      <cdr:nvSpPr>
        <cdr:cNvPr id="2" name="TextBox 1"/>
        <cdr:cNvSpPr txBox="1"/>
      </cdr:nvSpPr>
      <cdr:spPr>
        <a:xfrm xmlns:a="http://schemas.openxmlformats.org/drawingml/2006/main">
          <a:off x="266700" y="1066800"/>
          <a:ext cx="1504950" cy="590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0.24417</cdr:x>
      <cdr:y>0.34207</cdr:y>
    </cdr:from>
    <cdr:to>
      <cdr:x>0.77092</cdr:x>
      <cdr:y>0.63421</cdr:y>
    </cdr:to>
    <cdr:sp macro="" textlink="PivotTable!$B$29">
      <cdr:nvSpPr>
        <cdr:cNvPr id="3" name="TextBox 30"/>
        <cdr:cNvSpPr txBox="1"/>
      </cdr:nvSpPr>
      <cdr:spPr>
        <a:xfrm xmlns:a="http://schemas.openxmlformats.org/drawingml/2006/main">
          <a:off x="565150" y="869950"/>
          <a:ext cx="1219200" cy="74295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FC5102C3-A8B1-4710-B1C1-8A6DE81DCAC0}" type="TxLink">
            <a:rPr lang="en-US" sz="3600" b="1" i="0" u="none" strike="noStrike">
              <a:solidFill>
                <a:srgbClr val="000000"/>
              </a:solidFill>
              <a:latin typeface="Times New Roman" panose="02020603050405020304" pitchFamily="18" charset="0"/>
              <a:cs typeface="Times New Roman" panose="02020603050405020304" pitchFamily="18" charset="0"/>
            </a:rPr>
            <a:pPr algn="ctr"/>
            <a:t>84%</a:t>
          </a:fld>
          <a:endParaRPr lang="en-US" sz="59500" b="1">
            <a:solidFill>
              <a:sysClr val="windowText" lastClr="000000"/>
            </a:solidFill>
            <a:latin typeface="Times New Roman" panose="02020603050405020304" pitchFamily="18" charset="0"/>
            <a:cs typeface="Times New Roman" panose="02020603050405020304" pitchFamily="18" charset="0"/>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0.11523</cdr:x>
      <cdr:y>0.41948</cdr:y>
    </cdr:from>
    <cdr:to>
      <cdr:x>0.76543</cdr:x>
      <cdr:y>0.65169</cdr:y>
    </cdr:to>
    <cdr:sp macro="" textlink="">
      <cdr:nvSpPr>
        <cdr:cNvPr id="2" name="TextBox 1"/>
        <cdr:cNvSpPr txBox="1"/>
      </cdr:nvSpPr>
      <cdr:spPr>
        <a:xfrm xmlns:a="http://schemas.openxmlformats.org/drawingml/2006/main">
          <a:off x="266700" y="1066800"/>
          <a:ext cx="1504950" cy="5905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0.24417</cdr:x>
      <cdr:y>0.34207</cdr:y>
    </cdr:from>
    <cdr:to>
      <cdr:x>0.77092</cdr:x>
      <cdr:y>0.63421</cdr:y>
    </cdr:to>
    <cdr:sp macro="" textlink="PivotTable!$B$31">
      <cdr:nvSpPr>
        <cdr:cNvPr id="3" name="TextBox 30"/>
        <cdr:cNvSpPr txBox="1"/>
      </cdr:nvSpPr>
      <cdr:spPr>
        <a:xfrm xmlns:a="http://schemas.openxmlformats.org/drawingml/2006/main">
          <a:off x="565150" y="869950"/>
          <a:ext cx="1219200" cy="74295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5FF3DF16-15B9-4AA1-8F81-11FCC42DAF5B}" type="TxLink">
            <a:rPr lang="en-US" sz="3600" b="1" i="0" u="none" strike="noStrike">
              <a:solidFill>
                <a:srgbClr val="000000"/>
              </a:solidFill>
              <a:latin typeface="Times New Roman" panose="02020603050405020304" pitchFamily="18" charset="0"/>
              <a:cs typeface="Times New Roman" panose="02020603050405020304" pitchFamily="18" charset="0"/>
            </a:rPr>
            <a:pPr algn="ctr"/>
            <a:t>94%</a:t>
          </a:fld>
          <a:endParaRPr lang="en-US" sz="333300" b="1">
            <a:solidFill>
              <a:sysClr val="windowText" lastClr="000000"/>
            </a:solidFill>
            <a:latin typeface="Times New Roman" panose="02020603050405020304" pitchFamily="18" charset="0"/>
            <a:cs typeface="Times New Roman" panose="02020603050405020304" pitchFamily="18"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orche" refreshedDate="46016.552322453703" createdVersion="6" refreshedVersion="8" minRefreshableVersion="3" recordCount="63" xr:uid="{00000000-000A-0000-FFFF-FFFF0B000000}">
  <cacheSource type="worksheet">
    <worksheetSource name="Table1"/>
  </cacheSource>
  <cacheFields count="15">
    <cacheField name="Date" numFmtId="14">
      <sharedItems containsSemiMixedTypes="0" containsNonDate="0" containsDate="1" containsString="0" minDate="2023-01-02T00:00:00" maxDate="2023-12-16T00:00:00"/>
    </cacheField>
    <cacheField name="Region" numFmtId="0">
      <sharedItems count="4">
        <s v="East"/>
        <s v="West"/>
        <s v="South"/>
        <s v="North"/>
      </sharedItems>
    </cacheField>
    <cacheField name="Sales" numFmtId="164">
      <sharedItems containsSemiMixedTypes="0" containsString="0" containsNumber="1" containsInteger="1" minValue="1000" maxValue="6500"/>
    </cacheField>
    <cacheField name="Profit" numFmtId="164">
      <sharedItems containsSemiMixedTypes="0" containsString="0" containsNumber="1" minValue="385.71428571428601" maxValue="5214.2857142857101"/>
    </cacheField>
    <cacheField name="Target Sales" numFmtId="164">
      <sharedItems containsSemiMixedTypes="0" containsString="0" containsNumber="1" minValue="285.71428571428572" maxValue="6714.2857142857101"/>
    </cacheField>
    <cacheField name="No of Customers" numFmtId="0">
      <sharedItems containsSemiMixedTypes="0" containsString="0" containsNumber="1" containsInteger="1" minValue="15" maxValue="310"/>
    </cacheField>
    <cacheField name="Sales Completion Rate" numFmtId="0">
      <sharedItems containsSemiMixedTypes="0" containsString="0" containsNumber="1" minValue="0.7" maxValue="0.99"/>
    </cacheField>
    <cacheField name="Profit Completion Rate" numFmtId="0">
      <sharedItems containsSemiMixedTypes="0" containsString="0" containsNumber="1" minValue="0.7" maxValue="0.99"/>
    </cacheField>
    <cacheField name="Customer Completion Rate" numFmtId="0">
      <sharedItems containsSemiMixedTypes="0" containsString="0" containsNumber="1" minValue="0.7" maxValue="0.99"/>
    </cacheField>
    <cacheField name="Country" numFmtId="0">
      <sharedItems count="5">
        <s v="Argentina"/>
        <s v="Colombia"/>
        <s v="Brazil"/>
        <s v="Ecuador"/>
        <s v="Peru"/>
      </sharedItems>
    </cacheField>
    <cacheField name="Customer Satisfaction" numFmtId="0">
      <sharedItems count="5">
        <s v="Speed"/>
        <s v="Quality"/>
        <s v="Hygiene"/>
        <s v="Service"/>
        <s v="Availability"/>
      </sharedItems>
    </cacheField>
    <cacheField name="Score" numFmtId="0">
      <sharedItems containsSemiMixedTypes="0" containsString="0" containsNumber="1" containsInteger="1" minValue="2" maxValue="9"/>
    </cacheField>
    <cacheField name="Month" numFmtId="0">
      <sharedItems count="12">
        <s v="May"/>
        <s v="Feb"/>
        <s v="Oct"/>
        <s v="Nov"/>
        <s v="Mar"/>
        <s v="Apr"/>
        <s v="Aug"/>
        <s v="Jun"/>
        <s v="Jul"/>
        <s v="Sep"/>
        <s v="Dec"/>
        <s v="Jan"/>
      </sharedItems>
    </cacheField>
    <cacheField name="Quarter" numFmtId="0">
      <sharedItems count="4">
        <s v="Q2"/>
        <s v="Q1"/>
        <s v="Q4"/>
        <s v="Q3"/>
      </sharedItems>
    </cacheField>
    <cacheField name="Pending" numFmtId="0" formula="IF('Target Sales'=0, 1, 1 -Sales /'Target Sales' )" databaseField="0"/>
  </cacheFields>
  <extLst>
    <ext xmlns:x14="http://schemas.microsoft.com/office/spreadsheetml/2009/9/main" uri="{725AE2AE-9491-48be-B2B4-4EB974FC3084}">
      <x14:pivotCacheDefinition pivotCacheId="6598755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d v="2023-05-14T00:00:00"/>
    <x v="0"/>
    <n v="2581"/>
    <n v="2957.1428571428601"/>
    <n v="5857"/>
    <n v="80"/>
    <n v="0.89"/>
    <n v="0.85"/>
    <n v="0.72"/>
    <x v="0"/>
    <x v="0"/>
    <n v="8"/>
    <x v="0"/>
    <x v="0"/>
  </r>
  <r>
    <d v="2023-02-26T00:00:00"/>
    <x v="1"/>
    <n v="3944"/>
    <n v="2957.1428571428601"/>
    <n v="5857"/>
    <n v="30"/>
    <n v="0.94"/>
    <n v="0.95"/>
    <n v="0.86"/>
    <x v="1"/>
    <x v="1"/>
    <n v="4"/>
    <x v="1"/>
    <x v="1"/>
  </r>
  <r>
    <d v="2023-02-27T00:00:00"/>
    <x v="2"/>
    <n v="3293"/>
    <n v="2957.1428571428601"/>
    <n v="5857"/>
    <n v="15"/>
    <n v="0.82"/>
    <n v="0.8"/>
    <n v="0.76"/>
    <x v="2"/>
    <x v="2"/>
    <n v="3"/>
    <x v="1"/>
    <x v="1"/>
  </r>
  <r>
    <d v="2023-02-28T00:00:00"/>
    <x v="2"/>
    <n v="2019"/>
    <n v="2957.1428571428601"/>
    <n v="5857"/>
    <n v="40"/>
    <n v="0.79"/>
    <n v="0.79"/>
    <n v="0.79"/>
    <x v="3"/>
    <x v="0"/>
    <n v="2"/>
    <x v="1"/>
    <x v="1"/>
  </r>
  <r>
    <d v="2023-10-29T00:00:00"/>
    <x v="1"/>
    <n v="2980"/>
    <n v="2958"/>
    <n v="5857"/>
    <n v="100"/>
    <n v="0.96"/>
    <n v="0.79"/>
    <n v="0.7"/>
    <x v="4"/>
    <x v="3"/>
    <n v="7"/>
    <x v="2"/>
    <x v="2"/>
  </r>
  <r>
    <d v="2023-10-30T00:00:00"/>
    <x v="1"/>
    <n v="2209"/>
    <n v="2957.1428571428601"/>
    <n v="5857"/>
    <n v="15"/>
    <n v="0.79"/>
    <n v="0.79"/>
    <n v="0.77"/>
    <x v="4"/>
    <x v="0"/>
    <n v="9"/>
    <x v="2"/>
    <x v="2"/>
  </r>
  <r>
    <d v="2023-10-31T00:00:00"/>
    <x v="3"/>
    <n v="2440"/>
    <n v="2957.1428571428601"/>
    <n v="5857"/>
    <n v="20"/>
    <n v="0.75"/>
    <n v="0.72"/>
    <n v="0.93"/>
    <x v="4"/>
    <x v="1"/>
    <n v="5"/>
    <x v="2"/>
    <x v="2"/>
  </r>
  <r>
    <d v="2023-11-01T00:00:00"/>
    <x v="3"/>
    <n v="2000"/>
    <n v="1328.57142857143"/>
    <n v="4428.5714285714303"/>
    <n v="90"/>
    <n v="0.92"/>
    <n v="0.99"/>
    <n v="0.74"/>
    <x v="2"/>
    <x v="1"/>
    <n v="6"/>
    <x v="3"/>
    <x v="2"/>
  </r>
  <r>
    <d v="2023-11-02T00:00:00"/>
    <x v="3"/>
    <n v="1431"/>
    <n v="1328.57142857143"/>
    <n v="4428.5714285714303"/>
    <n v="30"/>
    <n v="0.7"/>
    <n v="0.99"/>
    <n v="0.95"/>
    <x v="2"/>
    <x v="3"/>
    <n v="8"/>
    <x v="3"/>
    <x v="2"/>
  </r>
  <r>
    <d v="2023-11-03T00:00:00"/>
    <x v="1"/>
    <n v="3000"/>
    <n v="1328.57142857143"/>
    <n v="4428.5714285714303"/>
    <n v="15"/>
    <n v="0.91"/>
    <n v="0.98"/>
    <n v="0.89"/>
    <x v="2"/>
    <x v="3"/>
    <n v="4"/>
    <x v="3"/>
    <x v="2"/>
  </r>
  <r>
    <d v="2023-05-14T00:00:00"/>
    <x v="1"/>
    <n v="4000"/>
    <n v="1328.57142857143"/>
    <n v="4428.5714285714303"/>
    <n v="40"/>
    <n v="0.74"/>
    <n v="0.85"/>
    <n v="0.7"/>
    <x v="2"/>
    <x v="0"/>
    <n v="3"/>
    <x v="0"/>
    <x v="0"/>
  </r>
  <r>
    <d v="2023-10-26T00:00:00"/>
    <x v="0"/>
    <n v="1000"/>
    <n v="1328.57142857143"/>
    <n v="4428.5714285714303"/>
    <n v="100"/>
    <n v="0.9"/>
    <n v="0.9"/>
    <n v="0.72"/>
    <x v="2"/>
    <x v="1"/>
    <n v="2"/>
    <x v="2"/>
    <x v="2"/>
  </r>
  <r>
    <d v="2023-03-10T00:00:00"/>
    <x v="0"/>
    <n v="2000"/>
    <n v="1328.57142857143"/>
    <n v="4428.5714285714303"/>
    <n v="15"/>
    <n v="0.95"/>
    <n v="0.97"/>
    <n v="0.81"/>
    <x v="2"/>
    <x v="2"/>
    <n v="7"/>
    <x v="4"/>
    <x v="1"/>
  </r>
  <r>
    <d v="2023-04-28T00:00:00"/>
    <x v="2"/>
    <n v="2000"/>
    <n v="1328.57142857143"/>
    <n v="4428.5714285714303"/>
    <n v="20"/>
    <n v="0.99"/>
    <n v="0.79"/>
    <n v="0.75"/>
    <x v="2"/>
    <x v="3"/>
    <n v="9"/>
    <x v="5"/>
    <x v="0"/>
  </r>
  <r>
    <d v="2023-10-19T00:00:00"/>
    <x v="2"/>
    <n v="4000"/>
    <n v="1328.57142857143"/>
    <n v="1428.57142857143"/>
    <n v="45"/>
    <n v="0.86"/>
    <n v="0.97"/>
    <n v="0.89"/>
    <x v="0"/>
    <x v="4"/>
    <n v="5"/>
    <x v="2"/>
    <x v="2"/>
  </r>
  <r>
    <d v="2023-08-22T00:00:00"/>
    <x v="0"/>
    <n v="6000"/>
    <n v="1328.57142857143"/>
    <n v="1428.57142857143"/>
    <n v="43"/>
    <n v="0.83"/>
    <n v="0.72"/>
    <n v="0.74"/>
    <x v="1"/>
    <x v="0"/>
    <n v="6"/>
    <x v="6"/>
    <x v="3"/>
  </r>
  <r>
    <d v="2023-08-09T00:00:00"/>
    <x v="1"/>
    <n v="6500"/>
    <n v="1328.57142857143"/>
    <n v="1428.57142857143"/>
    <n v="43"/>
    <n v="0.74"/>
    <n v="0.78"/>
    <n v="0.94"/>
    <x v="2"/>
    <x v="1"/>
    <n v="8"/>
    <x v="6"/>
    <x v="3"/>
  </r>
  <r>
    <d v="2023-06-01T00:00:00"/>
    <x v="3"/>
    <n v="1200"/>
    <n v="1328.57142857143"/>
    <n v="1428.57142857143"/>
    <n v="43"/>
    <n v="0.8"/>
    <n v="0.84"/>
    <n v="0.81"/>
    <x v="3"/>
    <x v="1"/>
    <n v="4"/>
    <x v="7"/>
    <x v="0"/>
  </r>
  <r>
    <d v="2023-03-01T00:00:00"/>
    <x v="3"/>
    <n v="3000"/>
    <n v="1328.57142857143"/>
    <n v="1428.5714285714287"/>
    <n v="43"/>
    <n v="0.89"/>
    <n v="0.99"/>
    <n v="0.97"/>
    <x v="0"/>
    <x v="0"/>
    <n v="3"/>
    <x v="4"/>
    <x v="1"/>
  </r>
  <r>
    <d v="2023-11-27T00:00:00"/>
    <x v="3"/>
    <n v="2000"/>
    <n v="1328.57142857143"/>
    <n v="1428.5714285714287"/>
    <n v="40"/>
    <n v="0.71"/>
    <n v="0.87"/>
    <n v="0.94"/>
    <x v="1"/>
    <x v="4"/>
    <n v="2"/>
    <x v="3"/>
    <x v="2"/>
  </r>
  <r>
    <d v="2023-10-14T00:00:00"/>
    <x v="3"/>
    <n v="2000"/>
    <n v="1328.57142857143"/>
    <n v="1428.5714285714287"/>
    <n v="43"/>
    <n v="0.9"/>
    <n v="0.72"/>
    <n v="0.94"/>
    <x v="2"/>
    <x v="0"/>
    <n v="7"/>
    <x v="2"/>
    <x v="2"/>
  </r>
  <r>
    <d v="2023-06-21T00:00:00"/>
    <x v="0"/>
    <n v="3000"/>
    <n v="5214.2857142857101"/>
    <n v="6714.2857142857101"/>
    <n v="100"/>
    <n v="0.89"/>
    <n v="0.85"/>
    <n v="0.87"/>
    <x v="3"/>
    <x v="1"/>
    <n v="9"/>
    <x v="7"/>
    <x v="0"/>
  </r>
  <r>
    <d v="2023-07-23T00:00:00"/>
    <x v="2"/>
    <n v="4500"/>
    <n v="5214.2857142857101"/>
    <n v="6714.2857142857101"/>
    <n v="100"/>
    <n v="0.89"/>
    <n v="0.8"/>
    <n v="0.88"/>
    <x v="0"/>
    <x v="2"/>
    <n v="5"/>
    <x v="8"/>
    <x v="3"/>
  </r>
  <r>
    <d v="2023-07-20T00:00:00"/>
    <x v="0"/>
    <n v="5500"/>
    <n v="1214.2857142857099"/>
    <n v="6714.2857142857101"/>
    <n v="100"/>
    <n v="0.98"/>
    <n v="0.99"/>
    <n v="0.81"/>
    <x v="2"/>
    <x v="0"/>
    <n v="6"/>
    <x v="8"/>
    <x v="3"/>
  </r>
  <r>
    <d v="2023-07-22T00:00:00"/>
    <x v="1"/>
    <n v="1000"/>
    <n v="5214.2857142857101"/>
    <n v="6714.2857142857101"/>
    <n v="100"/>
    <n v="0.81"/>
    <n v="0.91"/>
    <n v="0.95"/>
    <x v="3"/>
    <x v="4"/>
    <n v="8"/>
    <x v="8"/>
    <x v="3"/>
  </r>
  <r>
    <d v="2023-04-02T00:00:00"/>
    <x v="0"/>
    <n v="2000"/>
    <n v="5214.2857142857101"/>
    <n v="6714.2857142857101"/>
    <n v="100"/>
    <n v="0.97"/>
    <n v="0.85"/>
    <n v="0.85"/>
    <x v="0"/>
    <x v="0"/>
    <n v="4"/>
    <x v="5"/>
    <x v="0"/>
  </r>
  <r>
    <d v="2023-02-22T00:00:00"/>
    <x v="0"/>
    <n v="2000"/>
    <n v="5214.2857142857101"/>
    <n v="6714.2857142857101"/>
    <n v="100"/>
    <n v="0.89"/>
    <n v="0.94"/>
    <n v="0.8"/>
    <x v="1"/>
    <x v="0"/>
    <n v="3"/>
    <x v="1"/>
    <x v="1"/>
  </r>
  <r>
    <d v="2023-09-10T00:00:00"/>
    <x v="0"/>
    <n v="2000"/>
    <n v="5214.2857142857101"/>
    <n v="6714.2857142857101"/>
    <n v="100"/>
    <n v="0.88"/>
    <n v="0.94"/>
    <n v="0.7"/>
    <x v="2"/>
    <x v="2"/>
    <n v="2"/>
    <x v="9"/>
    <x v="3"/>
  </r>
  <r>
    <d v="2023-12-15T00:00:00"/>
    <x v="0"/>
    <n v="2000"/>
    <n v="2957.1428571428601"/>
    <n v="2857.1428571428573"/>
    <n v="90"/>
    <n v="0.75"/>
    <n v="0.77"/>
    <n v="0.84"/>
    <x v="3"/>
    <x v="3"/>
    <n v="7"/>
    <x v="10"/>
    <x v="2"/>
  </r>
  <r>
    <d v="2023-03-12T00:00:00"/>
    <x v="0"/>
    <n v="1700"/>
    <n v="2957.1428571428601"/>
    <n v="2857.1428571428573"/>
    <n v="80"/>
    <n v="0.73"/>
    <n v="0.96"/>
    <n v="0.93"/>
    <x v="3"/>
    <x v="4"/>
    <n v="4"/>
    <x v="4"/>
    <x v="1"/>
  </r>
  <r>
    <d v="2023-09-10T00:00:00"/>
    <x v="0"/>
    <n v="1600"/>
    <n v="2957.1428571428601"/>
    <n v="2857.1428571428573"/>
    <n v="90"/>
    <n v="0.93"/>
    <n v="0.74"/>
    <n v="0.93"/>
    <x v="2"/>
    <x v="0"/>
    <n v="5"/>
    <x v="9"/>
    <x v="3"/>
  </r>
  <r>
    <d v="2023-01-02T00:00:00"/>
    <x v="1"/>
    <n v="1200"/>
    <n v="2957.1428571428601"/>
    <n v="2857.1428571428573"/>
    <n v="110"/>
    <n v="0.85"/>
    <n v="0.7"/>
    <n v="0.99"/>
    <x v="3"/>
    <x v="1"/>
    <n v="6"/>
    <x v="11"/>
    <x v="1"/>
  </r>
  <r>
    <d v="2023-10-28T00:00:00"/>
    <x v="2"/>
    <n v="2500"/>
    <n v="2957.1428571428601"/>
    <n v="2857.1428571428573"/>
    <n v="90"/>
    <n v="0.92"/>
    <n v="0.99"/>
    <n v="0.88"/>
    <x v="0"/>
    <x v="2"/>
    <n v="8"/>
    <x v="2"/>
    <x v="2"/>
  </r>
  <r>
    <d v="2023-06-26T00:00:00"/>
    <x v="2"/>
    <n v="2100"/>
    <n v="2957.1428571428601"/>
    <n v="2857.1428571428573"/>
    <n v="100"/>
    <n v="0.75"/>
    <n v="0.97"/>
    <n v="0.83"/>
    <x v="1"/>
    <x v="3"/>
    <n v="4"/>
    <x v="7"/>
    <x v="0"/>
  </r>
  <r>
    <d v="2023-11-13T00:00:00"/>
    <x v="2"/>
    <n v="2150"/>
    <n v="2957.1428571428601"/>
    <n v="2857.1428571428573"/>
    <n v="90"/>
    <n v="0.77"/>
    <n v="0.97"/>
    <n v="0.78"/>
    <x v="0"/>
    <x v="4"/>
    <n v="3"/>
    <x v="3"/>
    <x v="2"/>
  </r>
  <r>
    <d v="2023-06-30T00:00:00"/>
    <x v="2"/>
    <n v="2200"/>
    <n v="757.142857142857"/>
    <n v="857.14285714285711"/>
    <n v="228"/>
    <n v="0.79"/>
    <n v="0.75"/>
    <n v="0.93"/>
    <x v="1"/>
    <x v="0"/>
    <n v="2"/>
    <x v="7"/>
    <x v="0"/>
  </r>
  <r>
    <d v="2023-04-14T00:00:00"/>
    <x v="1"/>
    <n v="1800"/>
    <n v="757.142857142857"/>
    <n v="857.14285714285711"/>
    <n v="220"/>
    <n v="0.81"/>
    <n v="0.98"/>
    <n v="0.86"/>
    <x v="2"/>
    <x v="1"/>
    <n v="7"/>
    <x v="5"/>
    <x v="0"/>
  </r>
  <r>
    <d v="2023-12-06T00:00:00"/>
    <x v="3"/>
    <n v="1800"/>
    <n v="757.142857142857"/>
    <n v="857.14285714285711"/>
    <n v="228"/>
    <n v="0.86"/>
    <n v="0.82"/>
    <n v="0.86"/>
    <x v="3"/>
    <x v="2"/>
    <n v="9"/>
    <x v="10"/>
    <x v="2"/>
  </r>
  <r>
    <d v="2023-05-08T00:00:00"/>
    <x v="0"/>
    <n v="1414"/>
    <n v="757.142857142857"/>
    <n v="857.14285714285711"/>
    <n v="238"/>
    <n v="0.72"/>
    <n v="0.95"/>
    <n v="0.9"/>
    <x v="4"/>
    <x v="3"/>
    <n v="5"/>
    <x v="0"/>
    <x v="0"/>
  </r>
  <r>
    <d v="2023-04-03T00:00:00"/>
    <x v="2"/>
    <n v="2100"/>
    <n v="757.142857142857"/>
    <n v="857.14285714285711"/>
    <n v="228"/>
    <n v="0.71"/>
    <n v="0.8"/>
    <n v="0.76"/>
    <x v="4"/>
    <x v="4"/>
    <n v="5"/>
    <x v="5"/>
    <x v="0"/>
  </r>
  <r>
    <d v="2023-06-01T00:00:00"/>
    <x v="2"/>
    <n v="2500"/>
    <n v="757.142857142857"/>
    <n v="857.14285714285711"/>
    <n v="230"/>
    <n v="0.97"/>
    <n v="0.95"/>
    <n v="0.85"/>
    <x v="4"/>
    <x v="0"/>
    <n v="8"/>
    <x v="7"/>
    <x v="0"/>
  </r>
  <r>
    <d v="2023-11-03T00:00:00"/>
    <x v="3"/>
    <n v="2200"/>
    <n v="757.142857142857"/>
    <n v="857.14285714285711"/>
    <n v="228"/>
    <n v="0.95"/>
    <n v="0.85"/>
    <n v="0.91"/>
    <x v="2"/>
    <x v="1"/>
    <n v="4"/>
    <x v="3"/>
    <x v="2"/>
  </r>
  <r>
    <d v="2023-05-14T00:00:00"/>
    <x v="0"/>
    <n v="2500"/>
    <n v="914.28571428571399"/>
    <n v="714.28571428571433"/>
    <n v="250"/>
    <n v="0.97"/>
    <n v="0.7"/>
    <n v="0.93"/>
    <x v="2"/>
    <x v="2"/>
    <n v="3"/>
    <x v="0"/>
    <x v="0"/>
  </r>
  <r>
    <d v="2023-10-26T00:00:00"/>
    <x v="2"/>
    <n v="2200"/>
    <n v="914.28571428571399"/>
    <n v="714.28571428571433"/>
    <n v="240"/>
    <n v="0.9"/>
    <n v="0.98"/>
    <n v="0.96"/>
    <x v="2"/>
    <x v="3"/>
    <n v="2"/>
    <x v="2"/>
    <x v="2"/>
  </r>
  <r>
    <d v="2023-10-27T00:00:00"/>
    <x v="0"/>
    <n v="2500"/>
    <n v="914.28571428571399"/>
    <n v="714.28571428571433"/>
    <n v="270"/>
    <n v="0.9"/>
    <n v="0.95"/>
    <n v="0.98"/>
    <x v="2"/>
    <x v="4"/>
    <n v="3"/>
    <x v="2"/>
    <x v="2"/>
  </r>
  <r>
    <d v="2023-01-28T00:00:00"/>
    <x v="1"/>
    <n v="2000"/>
    <n v="914.28571428571399"/>
    <n v="714.28571428571433"/>
    <n v="259"/>
    <n v="0.96"/>
    <n v="0.81"/>
    <n v="0.85"/>
    <x v="2"/>
    <x v="0"/>
    <n v="9"/>
    <x v="11"/>
    <x v="1"/>
  </r>
  <r>
    <d v="2023-01-29T00:00:00"/>
    <x v="1"/>
    <n v="2500"/>
    <n v="914.28571428571399"/>
    <n v="714.28571428571433"/>
    <n v="260"/>
    <n v="0.98"/>
    <n v="0.84"/>
    <n v="0.89"/>
    <x v="2"/>
    <x v="0"/>
    <n v="5"/>
    <x v="11"/>
    <x v="1"/>
  </r>
  <r>
    <d v="2023-01-30T00:00:00"/>
    <x v="1"/>
    <n v="2500"/>
    <n v="914.28571428571399"/>
    <n v="714.28571428571433"/>
    <n v="260"/>
    <n v="0.76"/>
    <n v="0.7"/>
    <n v="0.86"/>
    <x v="2"/>
    <x v="2"/>
    <n v="6"/>
    <x v="11"/>
    <x v="1"/>
  </r>
  <r>
    <d v="2023-01-31T00:00:00"/>
    <x v="0"/>
    <n v="2500"/>
    <n v="914.28571428571399"/>
    <n v="714.28571428571433"/>
    <n v="261"/>
    <n v="0.91"/>
    <n v="0.77"/>
    <n v="0.75"/>
    <x v="0"/>
    <x v="3"/>
    <n v="8"/>
    <x v="11"/>
    <x v="1"/>
  </r>
  <r>
    <d v="2023-11-01T00:00:00"/>
    <x v="0"/>
    <n v="2500"/>
    <n v="914.28571428571399"/>
    <n v="714.28571428571433"/>
    <n v="242"/>
    <n v="0.79"/>
    <n v="0.81"/>
    <n v="0.74"/>
    <x v="1"/>
    <x v="4"/>
    <n v="4"/>
    <x v="3"/>
    <x v="2"/>
  </r>
  <r>
    <d v="2023-11-02T00:00:00"/>
    <x v="0"/>
    <n v="2250"/>
    <n v="914.28571428571399"/>
    <n v="714.28571428571433"/>
    <n v="250"/>
    <n v="0.85"/>
    <n v="0.82"/>
    <n v="0.73"/>
    <x v="2"/>
    <x v="0"/>
    <n v="3"/>
    <x v="3"/>
    <x v="2"/>
  </r>
  <r>
    <d v="2023-11-03T00:00:00"/>
    <x v="0"/>
    <n v="2500"/>
    <n v="914.28571428571399"/>
    <n v="714.28571428571433"/>
    <n v="242"/>
    <n v="0.88"/>
    <n v="0.84"/>
    <n v="0.75"/>
    <x v="3"/>
    <x v="1"/>
    <n v="2"/>
    <x v="3"/>
    <x v="2"/>
  </r>
  <r>
    <d v="2023-05-14T00:00:00"/>
    <x v="0"/>
    <n v="2500"/>
    <n v="914.28571428571399"/>
    <n v="714.28571428571433"/>
    <n v="242"/>
    <n v="0.81"/>
    <n v="0.92"/>
    <n v="0.91"/>
    <x v="0"/>
    <x v="2"/>
    <n v="7"/>
    <x v="0"/>
    <x v="0"/>
  </r>
  <r>
    <d v="2023-10-26T00:00:00"/>
    <x v="2"/>
    <n v="2500"/>
    <n v="914.28571428571399"/>
    <n v="714.28571428571433"/>
    <n v="242"/>
    <n v="0.84"/>
    <n v="0.73"/>
    <n v="0.99"/>
    <x v="1"/>
    <x v="3"/>
    <n v="9"/>
    <x v="2"/>
    <x v="2"/>
  </r>
  <r>
    <d v="2023-03-10T00:00:00"/>
    <x v="2"/>
    <n v="2500"/>
    <n v="914.28571428571399"/>
    <n v="714.28571428571433"/>
    <n v="240"/>
    <n v="0.93"/>
    <n v="0.79"/>
    <n v="0.72"/>
    <x v="2"/>
    <x v="4"/>
    <n v="5"/>
    <x v="4"/>
    <x v="1"/>
  </r>
  <r>
    <d v="2023-04-28T00:00:00"/>
    <x v="2"/>
    <n v="2500"/>
    <n v="914.28571428571399"/>
    <n v="714.28571428571433"/>
    <n v="242"/>
    <n v="0.84"/>
    <n v="0.79"/>
    <n v="0.8"/>
    <x v="3"/>
    <x v="0"/>
    <n v="6"/>
    <x v="5"/>
    <x v="0"/>
  </r>
  <r>
    <d v="2023-01-19T00:00:00"/>
    <x v="2"/>
    <n v="2200"/>
    <n v="385.71428571428601"/>
    <n v="285.71428571428572"/>
    <n v="285"/>
    <n v="0.85"/>
    <n v="0.91"/>
    <n v="0.84"/>
    <x v="0"/>
    <x v="1"/>
    <n v="8"/>
    <x v="11"/>
    <x v="1"/>
  </r>
  <r>
    <d v="2023-08-22T00:00:00"/>
    <x v="1"/>
    <n v="2150"/>
    <n v="385.71428571428601"/>
    <n v="285.71428571428572"/>
    <n v="275"/>
    <n v="0.86"/>
    <n v="0.75"/>
    <n v="0.96"/>
    <x v="2"/>
    <x v="2"/>
    <n v="4"/>
    <x v="6"/>
    <x v="3"/>
  </r>
  <r>
    <d v="2023-08-09T00:00:00"/>
    <x v="3"/>
    <n v="2400"/>
    <n v="385.71428571428601"/>
    <n v="285.71428571428572"/>
    <n v="285"/>
    <n v="0.96"/>
    <n v="0.77"/>
    <n v="0.92"/>
    <x v="3"/>
    <x v="3"/>
    <n v="3"/>
    <x v="6"/>
    <x v="3"/>
  </r>
  <r>
    <d v="2023-06-01T00:00:00"/>
    <x v="2"/>
    <n v="2450"/>
    <n v="385.71428571428601"/>
    <n v="285.71428571428572"/>
    <n v="290"/>
    <n v="0.99"/>
    <n v="0.97"/>
    <n v="0.73"/>
    <x v="0"/>
    <x v="4"/>
    <n v="2"/>
    <x v="7"/>
    <x v="0"/>
  </r>
  <r>
    <d v="2023-03-01T00:00:00"/>
    <x v="1"/>
    <n v="2500"/>
    <n v="385.71428571428601"/>
    <n v="285.71428571428572"/>
    <n v="310"/>
    <n v="0.77"/>
    <n v="0.72"/>
    <n v="0.85"/>
    <x v="1"/>
    <x v="0"/>
    <n v="7"/>
    <x v="4"/>
    <x v="1"/>
  </r>
  <r>
    <d v="2023-11-27T00:00:00"/>
    <x v="3"/>
    <n v="2450"/>
    <n v="385.71428571428601"/>
    <n v="285.71428571428572"/>
    <n v="270"/>
    <n v="0.77"/>
    <n v="0.96"/>
    <n v="0.78"/>
    <x v="2"/>
    <x v="1"/>
    <n v="9"/>
    <x v="3"/>
    <x v="2"/>
  </r>
  <r>
    <d v="2023-10-14T00:00:00"/>
    <x v="2"/>
    <n v="2400"/>
    <n v="385.71428571428601"/>
    <n v="285.71428571428572"/>
    <n v="285"/>
    <n v="0.78"/>
    <n v="0.8"/>
    <n v="0.85"/>
    <x v="3"/>
    <x v="2"/>
    <n v="5"/>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4" cacheId="3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L5:M11" firstHeaderRow="1" firstDataRow="1" firstDataCol="1"/>
  <pivotFields count="15">
    <pivotField numFmtId="14" showAll="0"/>
    <pivotField showAll="0"/>
    <pivotField numFmtId="164" showAll="0"/>
    <pivotField numFmtId="164" showAll="0"/>
    <pivotField numFmtId="164" showAll="0"/>
    <pivotField showAll="0"/>
    <pivotField showAll="0"/>
    <pivotField showAll="0"/>
    <pivotField showAll="0"/>
    <pivotField showAll="0"/>
    <pivotField axis="axisRow" showAll="0" sortType="descending">
      <items count="6">
        <item x="4"/>
        <item x="2"/>
        <item x="1"/>
        <item x="3"/>
        <item x="0"/>
        <item t="default"/>
      </items>
      <autoSortScope>
        <pivotArea dataOnly="0" outline="0" fieldPosition="0">
          <references count="1">
            <reference field="4294967294" count="1" selected="0">
              <x v="0"/>
            </reference>
          </references>
        </pivotArea>
      </autoSortScope>
    </pivotField>
    <pivotField dataField="1" showAll="0"/>
    <pivotField showAll="0">
      <items count="13">
        <item x="11"/>
        <item x="1"/>
        <item x="4"/>
        <item x="5"/>
        <item x="0"/>
        <item x="7"/>
        <item x="8"/>
        <item x="6"/>
        <item x="9"/>
        <item x="2"/>
        <item x="3"/>
        <item x="10"/>
        <item t="default"/>
      </items>
    </pivotField>
    <pivotField showAll="0">
      <items count="5">
        <item x="1"/>
        <item x="0"/>
        <item x="3"/>
        <item x="2"/>
        <item t="default"/>
      </items>
    </pivotField>
    <pivotField dragToRow="0" dragToCol="0" dragToPage="0" showAll="0" defaultSubtotal="0"/>
  </pivotFields>
  <rowFields count="1">
    <field x="10"/>
  </rowFields>
  <rowItems count="6">
    <i>
      <x v="4"/>
    </i>
    <i>
      <x v="2"/>
    </i>
    <i>
      <x v="3"/>
    </i>
    <i>
      <x v="1"/>
    </i>
    <i>
      <x/>
    </i>
    <i t="grand">
      <x/>
    </i>
  </rowItems>
  <colItems count="1">
    <i/>
  </colItems>
  <dataFields count="1">
    <dataField name="Sum of Score" fld="11" baseField="0" baseItem="0"/>
  </dataFields>
  <formats count="6">
    <format dxfId="245">
      <pivotArea type="all" dataOnly="0" outline="0" fieldPosition="0"/>
    </format>
    <format dxfId="244">
      <pivotArea outline="0" collapsedLevelsAreSubtotals="1" fieldPosition="0"/>
    </format>
    <format dxfId="243">
      <pivotArea field="12" type="button" dataOnly="0" labelOnly="1" outline="0"/>
    </format>
    <format dxfId="242">
      <pivotArea dataOnly="0" labelOnly="1" grandRow="1" outline="0" fieldPosition="0"/>
    </format>
    <format dxfId="241">
      <pivotArea outline="0" collapsedLevelsAreSubtotals="1" fieldPosition="0"/>
    </format>
    <format dxfId="2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6" cacheId="30" dataOnRows="1" applyNumberFormats="0" applyBorderFormats="0" applyFontFormats="0" applyPatternFormats="0" applyAlignmentFormats="0" applyWidthHeightFormats="1" dataCaption="Values" missingCaption="0" updatedVersion="8" minRefreshableVersion="3" useAutoFormatting="1" itemPrintTitles="1" createdVersion="6" indent="0" outline="1" outlineData="1" multipleFieldFilters="0" rowHeaderCaption=" ">
  <location ref="A20:B23" firstHeaderRow="1" firstDataRow="1" firstDataCol="1"/>
  <pivotFields count="15">
    <pivotField numFmtId="14" showAll="0"/>
    <pivotField showAll="0"/>
    <pivotField numFmtId="164" showAll="0"/>
    <pivotField numFmtId="164" showAll="0"/>
    <pivotField numFmtId="164" showAll="0"/>
    <pivotField showAll="0"/>
    <pivotField dataField="1" showAll="0"/>
    <pivotField dataField="1" showAll="0"/>
    <pivotField dataField="1" showAll="0"/>
    <pivotField showAll="0"/>
    <pivotField showAll="0"/>
    <pivotField showAll="0"/>
    <pivotField showAll="0">
      <items count="13">
        <item x="11"/>
        <item x="1"/>
        <item x="4"/>
        <item x="5"/>
        <item x="0"/>
        <item x="7"/>
        <item x="8"/>
        <item x="6"/>
        <item x="9"/>
        <item x="2"/>
        <item x="3"/>
        <item x="10"/>
        <item t="default"/>
      </items>
    </pivotField>
    <pivotField showAll="0">
      <items count="5">
        <item x="1"/>
        <item x="0"/>
        <item x="3"/>
        <item x="2"/>
        <item t="default"/>
      </items>
    </pivotField>
    <pivotField dragToRow="0" dragToCol="0" dragToPage="0" showAll="0" defaultSubtotal="0"/>
  </pivotFields>
  <rowFields count="1">
    <field x="-2"/>
  </rowFields>
  <rowItems count="3">
    <i>
      <x/>
    </i>
    <i i="1">
      <x v="1"/>
    </i>
    <i i="2">
      <x v="2"/>
    </i>
  </rowItems>
  <colItems count="1">
    <i/>
  </colItems>
  <dataFields count="3">
    <dataField name="Average of Sales Completion Rate" fld="6" subtotal="average" baseField="0" baseItem="0"/>
    <dataField name="Average of Profit Completion Rate" fld="7" subtotal="average" baseField="0" baseItem="0"/>
    <dataField name="Average of Customer Completion Rate" fld="8" subtotal="average" baseField="0" baseItem="0"/>
  </dataFields>
  <formats count="5">
    <format dxfId="250">
      <pivotArea type="all" dataOnly="0" outline="0" fieldPosition="0"/>
    </format>
    <format dxfId="249">
      <pivotArea outline="0" collapsedLevelsAreSubtotals="1" fieldPosition="0"/>
    </format>
    <format dxfId="248">
      <pivotArea field="12" type="button" dataOnly="0" labelOnly="1" outline="0"/>
    </format>
    <format dxfId="247">
      <pivotArea dataOnly="0" labelOnly="1" grandRow="1" outline="0" fieldPosition="0"/>
    </format>
    <format dxfId="2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3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H5:J10" firstHeaderRow="0" firstDataRow="1" firstDataCol="1"/>
  <pivotFields count="15">
    <pivotField numFmtId="14" showAll="0"/>
    <pivotField axis="axisRow" showAll="0" sortType="descending">
      <items count="5">
        <item x="0"/>
        <item x="3"/>
        <item x="2"/>
        <item x="1"/>
        <item t="default"/>
      </items>
      <autoSortScope>
        <pivotArea dataOnly="0" outline="0" fieldPosition="0">
          <references count="1">
            <reference field="4294967294" count="1" selected="0">
              <x v="1"/>
            </reference>
          </references>
        </pivotArea>
      </autoSortScope>
    </pivotField>
    <pivotField dataField="1" numFmtId="164" showAll="0"/>
    <pivotField dataField="1" numFmtId="164" showAll="0"/>
    <pivotField numFmtId="164" showAll="0"/>
    <pivotField showAll="0"/>
    <pivotField showAll="0"/>
    <pivotField showAll="0"/>
    <pivotField showAll="0"/>
    <pivotField showAll="0"/>
    <pivotField showAll="0"/>
    <pivotField showAll="0"/>
    <pivotField showAll="0">
      <items count="13">
        <item x="11"/>
        <item x="1"/>
        <item x="4"/>
        <item x="5"/>
        <item x="0"/>
        <item x="7"/>
        <item x="8"/>
        <item x="6"/>
        <item x="9"/>
        <item x="2"/>
        <item x="3"/>
        <item x="10"/>
        <item t="default"/>
      </items>
    </pivotField>
    <pivotField showAll="0">
      <items count="5">
        <item x="1"/>
        <item x="0"/>
        <item x="3"/>
        <item x="2"/>
        <item t="default"/>
      </items>
    </pivotField>
    <pivotField dragToRow="0" dragToCol="0" dragToPage="0" showAll="0" defaultSubtotal="0"/>
  </pivotFields>
  <rowFields count="1">
    <field x="1"/>
  </rowFields>
  <rowItems count="5">
    <i>
      <x/>
    </i>
    <i>
      <x v="2"/>
    </i>
    <i>
      <x v="3"/>
    </i>
    <i>
      <x v="1"/>
    </i>
    <i t="grand">
      <x/>
    </i>
  </rowItems>
  <colFields count="1">
    <field x="-2"/>
  </colFields>
  <colItems count="2">
    <i>
      <x/>
    </i>
    <i i="1">
      <x v="1"/>
    </i>
  </colItems>
  <dataFields count="2">
    <dataField name="Sum of Sales" fld="2" baseField="12" baseItem="0"/>
    <dataField name="Sum of Profit" fld="3" baseField="1" baseItem="0"/>
  </dataFields>
  <formats count="6">
    <format dxfId="256">
      <pivotArea type="all" dataOnly="0" outline="0" fieldPosition="0"/>
    </format>
    <format dxfId="255">
      <pivotArea outline="0" collapsedLevelsAreSubtotals="1" fieldPosition="0"/>
    </format>
    <format dxfId="254">
      <pivotArea field="12" type="button" dataOnly="0" labelOnly="1" outline="0"/>
    </format>
    <format dxfId="253">
      <pivotArea dataOnly="0" labelOnly="1" grandRow="1" outline="0" fieldPosition="0"/>
    </format>
    <format dxfId="252">
      <pivotArea dataOnly="0" labelOnly="1" outline="0" fieldPosition="0">
        <references count="1">
          <reference field="4294967294" count="1">
            <x v="0"/>
          </reference>
        </references>
      </pivotArea>
    </format>
    <format dxfId="251">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1"/>
          </reference>
        </references>
      </pivotArea>
    </chartFormat>
    <chartFormat chart="4" format="9"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1"/>
          </reference>
        </references>
      </pivotArea>
    </chartFormat>
    <chartFormat chart="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3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7">
  <location ref="E4:F17" firstHeaderRow="1" firstDataRow="1" firstDataCol="1"/>
  <pivotFields count="15">
    <pivotField numFmtId="14" showAll="0"/>
    <pivotField showAll="0"/>
    <pivotField numFmtId="164" showAll="0"/>
    <pivotField numFmtId="164" showAll="0"/>
    <pivotField numFmtId="164" showAll="0"/>
    <pivotField dataField="1" showAll="0"/>
    <pivotField showAll="0"/>
    <pivotField showAll="0"/>
    <pivotField showAll="0"/>
    <pivotField showAll="0"/>
    <pivotField showAll="0"/>
    <pivotField showAll="0"/>
    <pivotField axis="axisRow" showAll="0">
      <items count="13">
        <item x="11"/>
        <item x="1"/>
        <item x="4"/>
        <item x="5"/>
        <item x="0"/>
        <item x="7"/>
        <item x="8"/>
        <item x="6"/>
        <item x="9"/>
        <item x="2"/>
        <item x="3"/>
        <item x="10"/>
        <item t="default"/>
      </items>
    </pivotField>
    <pivotField showAll="0">
      <items count="5">
        <item x="1"/>
        <item x="0"/>
        <item x="3"/>
        <item x="2"/>
        <item t="default"/>
      </items>
    </pivotField>
    <pivotField dragToRow="0" dragToCol="0" dragToPage="0" showAll="0" defaultSubtotal="0"/>
  </pivotFields>
  <rowFields count="1">
    <field x="12"/>
  </rowFields>
  <rowItems count="13">
    <i>
      <x/>
    </i>
    <i>
      <x v="1"/>
    </i>
    <i>
      <x v="2"/>
    </i>
    <i>
      <x v="3"/>
    </i>
    <i>
      <x v="4"/>
    </i>
    <i>
      <x v="5"/>
    </i>
    <i>
      <x v="6"/>
    </i>
    <i>
      <x v="7"/>
    </i>
    <i>
      <x v="8"/>
    </i>
    <i>
      <x v="9"/>
    </i>
    <i>
      <x v="10"/>
    </i>
    <i>
      <x v="11"/>
    </i>
    <i t="grand">
      <x/>
    </i>
  </rowItems>
  <colItems count="1">
    <i/>
  </colItems>
  <dataFields count="1">
    <dataField name="No of custmers" fld="5" baseField="12" baseItem="0"/>
  </dataFields>
  <formats count="8">
    <format dxfId="264">
      <pivotArea type="all" dataOnly="0" outline="0" fieldPosition="0"/>
    </format>
    <format dxfId="263">
      <pivotArea outline="0" collapsedLevelsAreSubtotals="1" fieldPosition="0"/>
    </format>
    <format dxfId="262">
      <pivotArea field="12" type="button" dataOnly="0" labelOnly="1" outline="0" axis="axisRow" fieldPosition="0"/>
    </format>
    <format dxfId="261">
      <pivotArea dataOnly="0" labelOnly="1" fieldPosition="0">
        <references count="1">
          <reference field="12" count="0"/>
        </references>
      </pivotArea>
    </format>
    <format dxfId="260">
      <pivotArea dataOnly="0" labelOnly="1" grandRow="1" outline="0" fieldPosition="0"/>
    </format>
    <format dxfId="259">
      <pivotArea collapsedLevelsAreSubtotals="1" fieldPosition="0">
        <references count="1">
          <reference field="12" count="0"/>
        </references>
      </pivotArea>
    </format>
    <format dxfId="258">
      <pivotArea collapsedLevelsAreSubtotals="1" fieldPosition="0">
        <references count="1">
          <reference field="12" count="0"/>
        </references>
      </pivotArea>
    </format>
    <format dxfId="257">
      <pivotArea collapsedLevelsAreSubtotals="1" fieldPosition="0">
        <references count="1">
          <reference field="12" count="0"/>
        </references>
      </pivotArea>
    </format>
  </format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1" cacheId="3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A4:C17" firstHeaderRow="0" firstDataRow="1" firstDataCol="1"/>
  <pivotFields count="15">
    <pivotField numFmtId="14" showAll="0"/>
    <pivotField showAll="0"/>
    <pivotField dataField="1" numFmtId="164" showAll="0"/>
    <pivotField numFmtId="164" showAll="0"/>
    <pivotField dataField="1" numFmtId="164" showAll="0"/>
    <pivotField showAll="0"/>
    <pivotField showAll="0"/>
    <pivotField showAll="0"/>
    <pivotField showAll="0"/>
    <pivotField showAll="0"/>
    <pivotField showAll="0"/>
    <pivotField showAll="0"/>
    <pivotField axis="axisRow" showAll="0">
      <items count="13">
        <item x="11"/>
        <item x="1"/>
        <item x="4"/>
        <item x="5"/>
        <item x="0"/>
        <item x="7"/>
        <item x="8"/>
        <item x="6"/>
        <item x="9"/>
        <item x="2"/>
        <item x="3"/>
        <item x="10"/>
        <item t="default"/>
      </items>
    </pivotField>
    <pivotField showAll="0">
      <items count="5">
        <item x="1"/>
        <item x="0"/>
        <item x="3"/>
        <item x="2"/>
        <item t="default"/>
      </items>
    </pivotField>
    <pivotField dragToRow="0" dragToCol="0" dragToPage="0" showAll="0" defaultSubtotal="0"/>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2" baseField="12" baseItem="0"/>
    <dataField name="Sum of Target Sales" fld="4" baseField="12" baseItem="0"/>
  </dataFields>
  <formats count="8">
    <format dxfId="272">
      <pivotArea type="all" dataOnly="0" outline="0" fieldPosition="0"/>
    </format>
    <format dxfId="271">
      <pivotArea outline="0" collapsedLevelsAreSubtotals="1" fieldPosition="0"/>
    </format>
    <format dxfId="270">
      <pivotArea field="12" type="button" dataOnly="0" labelOnly="1" outline="0" axis="axisRow" fieldPosition="0"/>
    </format>
    <format dxfId="269">
      <pivotArea dataOnly="0" labelOnly="1" fieldPosition="0">
        <references count="1">
          <reference field="12" count="0"/>
        </references>
      </pivotArea>
    </format>
    <format dxfId="268">
      <pivotArea dataOnly="0" labelOnly="1" grandRow="1" outline="0" fieldPosition="0"/>
    </format>
    <format dxfId="267">
      <pivotArea dataOnly="0" labelOnly="1" outline="0" fieldPosition="0">
        <references count="1">
          <reference field="4294967294" count="2">
            <x v="0"/>
            <x v="1"/>
          </reference>
        </references>
      </pivotArea>
    </format>
    <format dxfId="266">
      <pivotArea collapsedLevelsAreSubtotals="1" fieldPosition="0">
        <references count="1">
          <reference field="12" count="0"/>
        </references>
      </pivotArea>
    </format>
    <format dxfId="265">
      <pivotArea collapsedLevelsAreSubtotals="1" fieldPosition="0">
        <references count="1">
          <reference field="12" count="0"/>
        </references>
      </pivotArea>
    </format>
  </formats>
  <chartFormats count="6">
    <chartFormat chart="2" format="6" series="1">
      <pivotArea type="data" outline="0" fieldPosition="0">
        <references count="1">
          <reference field="4294967294" count="1" selected="0">
            <x v="1"/>
          </reference>
        </references>
      </pivotArea>
    </chartFormat>
    <chartFormat chart="2" format="7"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5" cacheId="3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O5:P11" firstHeaderRow="1" firstDataRow="1" firstDataCol="1"/>
  <pivotFields count="15">
    <pivotField numFmtId="14" showAll="0"/>
    <pivotField showAll="0"/>
    <pivotField dataField="1" numFmtId="164" showAll="0"/>
    <pivotField numFmtId="164" showAll="0"/>
    <pivotField numFmtId="164" showAll="0"/>
    <pivotField showAll="0"/>
    <pivotField showAll="0"/>
    <pivotField showAll="0"/>
    <pivotField showAll="0"/>
    <pivotField axis="axisRow" showAll="0">
      <items count="6">
        <item x="0"/>
        <item x="2"/>
        <item x="1"/>
        <item x="3"/>
        <item x="4"/>
        <item t="default"/>
      </items>
    </pivotField>
    <pivotField showAll="0"/>
    <pivotField showAll="0"/>
    <pivotField showAll="0">
      <items count="13">
        <item x="11"/>
        <item x="1"/>
        <item x="4"/>
        <item x="5"/>
        <item x="0"/>
        <item x="7"/>
        <item x="8"/>
        <item x="6"/>
        <item x="9"/>
        <item x="2"/>
        <item x="3"/>
        <item x="10"/>
        <item t="default"/>
      </items>
    </pivotField>
    <pivotField showAll="0">
      <items count="5">
        <item x="1"/>
        <item x="0"/>
        <item x="3"/>
        <item x="2"/>
        <item t="default"/>
      </items>
    </pivotField>
    <pivotField dragToRow="0" dragToCol="0" dragToPage="0" showAll="0" defaultSubtotal="0"/>
  </pivotFields>
  <rowFields count="1">
    <field x="9"/>
  </rowFields>
  <rowItems count="6">
    <i>
      <x/>
    </i>
    <i>
      <x v="1"/>
    </i>
    <i>
      <x v="2"/>
    </i>
    <i>
      <x v="3"/>
    </i>
    <i>
      <x v="4"/>
    </i>
    <i t="grand">
      <x/>
    </i>
  </rowItems>
  <colItems count="1">
    <i/>
  </colItems>
  <dataFields count="1">
    <dataField name="Sum of Sales" fld="2" baseField="0" baseItem="0" numFmtId="165"/>
  </dataFields>
  <formats count="7">
    <format dxfId="279">
      <pivotArea type="all" dataOnly="0" outline="0" fieldPosition="0"/>
    </format>
    <format dxfId="278">
      <pivotArea outline="0" collapsedLevelsAreSubtotals="1" fieldPosition="0"/>
    </format>
    <format dxfId="277">
      <pivotArea field="12" type="button" dataOnly="0" labelOnly="1" outline="0"/>
    </format>
    <format dxfId="276">
      <pivotArea dataOnly="0" labelOnly="1" grandRow="1" outline="0" fieldPosition="0"/>
    </format>
    <format dxfId="275">
      <pivotArea outline="0" collapsedLevelsAreSubtotals="1" fieldPosition="0"/>
    </format>
    <format dxfId="274">
      <pivotArea outline="0" collapsedLevelsAreSubtotals="1" fieldPosition="0"/>
    </format>
    <format dxfId="2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0E85278-A294-4277-AAA4-DD2BE21D43EF}" sourceName="Month">
  <pivotTables>
    <pivotTable tabId="2" name="PivotTable1"/>
    <pivotTable tabId="2" name="PivotTable2"/>
    <pivotTable tabId="2" name="PivotTable3"/>
    <pivotTable tabId="2" name="PivotTable4"/>
    <pivotTable tabId="2" name="PivotTable5"/>
    <pivotTable tabId="2" name="PivotTable6"/>
  </pivotTables>
  <data>
    <tabular pivotCacheId="659875555">
      <items count="12">
        <i x="11" s="1"/>
        <i x="1" s="1"/>
        <i x="4" s="1"/>
        <i x="5" s="1"/>
        <i x="0" s="1"/>
        <i x="7" s="1"/>
        <i x="8" s="1"/>
        <i x="6" s="1"/>
        <i x="9" s="1"/>
        <i x="2" s="1"/>
        <i x="3" s="1"/>
        <i x="1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97AC61BF-7270-4868-8EDD-B66EDB5F4174}" sourceName="Quarter">
  <pivotTables>
    <pivotTable tabId="2" name="PivotTable1"/>
    <pivotTable tabId="2" name="PivotTable2"/>
    <pivotTable tabId="2" name="PivotTable3"/>
    <pivotTable tabId="2" name="PivotTable4"/>
    <pivotTable tabId="2" name="PivotTable5"/>
    <pivotTable tabId="2" name="PivotTable6"/>
  </pivotTables>
  <data>
    <tabular pivotCacheId="659875555">
      <items count="4">
        <i x="1" s="1"/>
        <i x="0" s="1"/>
        <i x="3" s="1"/>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CCD32EF-48FD-4C87-882F-0115F9ED33E7}" cache="Slicer_Month" caption="Month" rowHeight="247650"/>
  <slicer name="Quarter" xr10:uid="{9104DC6B-47C8-4FCD-B372-14EE0E7325AB}" cache="Slicer_Quarter" caption="Quarte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BA690A14-8995-4817-826A-C21DA59506E9}" cache="Slicer_Month" caption="Month" style="Slicer Style 1" rowHeight="640080"/>
  <slicer name="Quarter 1" xr10:uid="{C8CE7A4D-0C6B-40F0-8E73-203F81BD2BB6}" cache="Slicer_Quarter" caption="Quarter" style="Slicer Style 1" rowHeight="64008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1AA63D55-B881-43B4-8348-0582A8196A21}" cache="Slicer_Month" caption="Month" style="Slicer Style 1" rowHeight="640080"/>
  <slicer name="Quarter 2" xr10:uid="{DF5D9708-CEC6-41F9-BF60-09622F02F1E9}" cache="Slicer_Quarter" caption="Quarter" style="Slicer Style 1" rowHeight="7315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64" totalsRowShown="0">
  <autoFilter ref="A1:N64" xr:uid="{00000000-0009-0000-0100-000001000000}"/>
  <tableColumns count="14">
    <tableColumn id="1" xr3:uid="{00000000-0010-0000-0000-000001000000}" name="Date" dataDxfId="290"/>
    <tableColumn id="2" xr3:uid="{00000000-0010-0000-0000-000002000000}" name="Region" dataDxfId="289"/>
    <tableColumn id="3" xr3:uid="{00000000-0010-0000-0000-000003000000}" name="Sales" dataDxfId="288" dataCellStyle="Comma"/>
    <tableColumn id="4" xr3:uid="{00000000-0010-0000-0000-000004000000}" name="Profit" dataDxfId="287" dataCellStyle="Comma"/>
    <tableColumn id="5" xr3:uid="{00000000-0010-0000-0000-000005000000}" name="Target Sales" dataDxfId="286" dataCellStyle="Comma"/>
    <tableColumn id="6" xr3:uid="{00000000-0010-0000-0000-000006000000}" name="No of Customers" dataDxfId="285"/>
    <tableColumn id="7" xr3:uid="{00000000-0010-0000-0000-000007000000}" name="Sales Completion Rate" dataDxfId="284"/>
    <tableColumn id="8" xr3:uid="{00000000-0010-0000-0000-000008000000}" name="Profit Completion Rate" dataDxfId="283"/>
    <tableColumn id="9" xr3:uid="{00000000-0010-0000-0000-000009000000}" name="Customer Completion Rate" dataDxfId="282"/>
    <tableColumn id="10" xr3:uid="{00000000-0010-0000-0000-00000A000000}" name="Country"/>
    <tableColumn id="11" xr3:uid="{00000000-0010-0000-0000-00000B000000}" name="Customer Satisfaction"/>
    <tableColumn id="12" xr3:uid="{00000000-0010-0000-0000-00000C000000}" name="Score"/>
    <tableColumn id="14" xr3:uid="{00000000-0010-0000-0000-00000E000000}" name="Month" dataDxfId="281">
      <calculatedColumnFormula>TEXT(Table1[[#This Row],[Date]], "mmm")</calculatedColumnFormula>
    </tableColumn>
    <tableColumn id="15" xr3:uid="{00000000-0010-0000-0000-00000F000000}" name="Quarter" dataDxfId="280">
      <calculatedColumnFormula>"Q"&amp; ROUNDUP(MONTH(Table1[[#This Row],[Date]])/3, 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4"/>
  <sheetViews>
    <sheetView showGridLines="0" topLeftCell="A2" workbookViewId="0">
      <selection activeCell="D17" sqref="D17"/>
    </sheetView>
  </sheetViews>
  <sheetFormatPr defaultRowHeight="14.4" x14ac:dyDescent="0.3"/>
  <cols>
    <col min="1" max="1" width="9.88671875" style="1" bestFit="1" customWidth="1"/>
    <col min="3" max="3" width="7.109375" customWidth="1"/>
    <col min="4" max="4" width="11.88671875" bestFit="1" customWidth="1"/>
    <col min="5" max="5" width="12.88671875" customWidth="1"/>
    <col min="6" max="6" width="16" customWidth="1"/>
    <col min="7" max="7" width="20.88671875" customWidth="1"/>
    <col min="8" max="8" width="20.5546875" customWidth="1"/>
    <col min="9" max="9" width="24.109375" customWidth="1"/>
    <col min="10" max="10" width="8.88671875" customWidth="1"/>
    <col min="11" max="11" width="20.109375" customWidth="1"/>
  </cols>
  <sheetData>
    <row r="1" spans="1:14" x14ac:dyDescent="0.3">
      <c r="A1" s="1" t="s">
        <v>0</v>
      </c>
      <c r="B1" t="s">
        <v>1</v>
      </c>
      <c r="C1" s="2" t="s">
        <v>2</v>
      </c>
      <c r="D1" s="2" t="s">
        <v>3</v>
      </c>
      <c r="E1" s="2" t="s">
        <v>4</v>
      </c>
      <c r="F1" t="s">
        <v>5</v>
      </c>
      <c r="G1" t="s">
        <v>6</v>
      </c>
      <c r="H1" t="s">
        <v>7</v>
      </c>
      <c r="I1" t="s">
        <v>8</v>
      </c>
      <c r="J1" t="s">
        <v>9</v>
      </c>
      <c r="K1" t="s">
        <v>10</v>
      </c>
      <c r="L1" t="s">
        <v>11</v>
      </c>
      <c r="M1" t="s">
        <v>26</v>
      </c>
      <c r="N1" t="s">
        <v>27</v>
      </c>
    </row>
    <row r="2" spans="1:14" x14ac:dyDescent="0.3">
      <c r="A2" s="4">
        <v>45060</v>
      </c>
      <c r="B2" s="3" t="s">
        <v>12</v>
      </c>
      <c r="C2" s="5">
        <v>2581</v>
      </c>
      <c r="D2" s="5">
        <v>2957.1428571428601</v>
      </c>
      <c r="E2" s="5">
        <v>5857</v>
      </c>
      <c r="F2" s="3">
        <v>80</v>
      </c>
      <c r="G2" s="3">
        <v>0.89</v>
      </c>
      <c r="H2" s="3">
        <v>0.85</v>
      </c>
      <c r="I2" s="3">
        <v>0.72</v>
      </c>
      <c r="J2" t="s">
        <v>13</v>
      </c>
      <c r="K2" t="s">
        <v>14</v>
      </c>
      <c r="L2">
        <v>8</v>
      </c>
      <c r="M2" t="str">
        <f>TEXT(Table1[[#This Row],[Date]], "mmm")</f>
        <v>May</v>
      </c>
      <c r="N2" t="str">
        <f>"Q"&amp; ROUNDUP(MONTH(Table1[[#This Row],[Date]])/3, 0)</f>
        <v>Q2</v>
      </c>
    </row>
    <row r="3" spans="1:14" x14ac:dyDescent="0.3">
      <c r="A3" s="4">
        <v>44983</v>
      </c>
      <c r="B3" s="3" t="s">
        <v>15</v>
      </c>
      <c r="C3" s="5">
        <v>3944</v>
      </c>
      <c r="D3" s="5">
        <v>2957.1428571428601</v>
      </c>
      <c r="E3" s="5">
        <v>5857</v>
      </c>
      <c r="F3" s="3">
        <v>30</v>
      </c>
      <c r="G3" s="3">
        <v>0.94</v>
      </c>
      <c r="H3" s="3">
        <v>0.95</v>
      </c>
      <c r="I3" s="3">
        <v>0.86</v>
      </c>
      <c r="J3" t="s">
        <v>16</v>
      </c>
      <c r="K3" t="s">
        <v>17</v>
      </c>
      <c r="L3">
        <v>4</v>
      </c>
      <c r="M3" t="str">
        <f>TEXT(Table1[[#This Row],[Date]], "mmm")</f>
        <v>Feb</v>
      </c>
      <c r="N3" t="str">
        <f>"Q"&amp; ROUNDUP(MONTH(Table1[[#This Row],[Date]])/3, 0)</f>
        <v>Q1</v>
      </c>
    </row>
    <row r="4" spans="1:14" x14ac:dyDescent="0.3">
      <c r="A4" s="4">
        <v>44984</v>
      </c>
      <c r="B4" s="3" t="s">
        <v>18</v>
      </c>
      <c r="C4" s="5">
        <v>3293</v>
      </c>
      <c r="D4" s="5">
        <v>2957.1428571428601</v>
      </c>
      <c r="E4" s="5">
        <v>5857</v>
      </c>
      <c r="F4" s="3">
        <v>15</v>
      </c>
      <c r="G4" s="3">
        <v>0.82</v>
      </c>
      <c r="H4" s="3">
        <v>0.8</v>
      </c>
      <c r="I4" s="3">
        <v>0.76</v>
      </c>
      <c r="J4" t="s">
        <v>19</v>
      </c>
      <c r="K4" t="s">
        <v>20</v>
      </c>
      <c r="L4">
        <v>3</v>
      </c>
      <c r="M4" t="str">
        <f>TEXT(Table1[[#This Row],[Date]], "mmm")</f>
        <v>Feb</v>
      </c>
      <c r="N4" t="str">
        <f>"Q"&amp; ROUNDUP(MONTH(Table1[[#This Row],[Date]])/3, 0)</f>
        <v>Q1</v>
      </c>
    </row>
    <row r="5" spans="1:14" x14ac:dyDescent="0.3">
      <c r="A5" s="4">
        <v>44985</v>
      </c>
      <c r="B5" s="3" t="s">
        <v>18</v>
      </c>
      <c r="C5" s="5">
        <v>2019</v>
      </c>
      <c r="D5" s="5">
        <v>2957.1428571428601</v>
      </c>
      <c r="E5" s="5">
        <v>5857</v>
      </c>
      <c r="F5" s="3">
        <v>40</v>
      </c>
      <c r="G5" s="3">
        <v>0.79</v>
      </c>
      <c r="H5" s="3">
        <v>0.79</v>
      </c>
      <c r="I5" s="3">
        <v>0.79</v>
      </c>
      <c r="J5" t="s">
        <v>21</v>
      </c>
      <c r="K5" t="s">
        <v>14</v>
      </c>
      <c r="L5">
        <v>2</v>
      </c>
      <c r="M5" t="str">
        <f>TEXT(Table1[[#This Row],[Date]], "mmm")</f>
        <v>Feb</v>
      </c>
      <c r="N5" t="str">
        <f>"Q"&amp; ROUNDUP(MONTH(Table1[[#This Row],[Date]])/3, 0)</f>
        <v>Q1</v>
      </c>
    </row>
    <row r="6" spans="1:14" x14ac:dyDescent="0.3">
      <c r="A6" s="4">
        <v>45228</v>
      </c>
      <c r="B6" s="3" t="s">
        <v>15</v>
      </c>
      <c r="C6" s="5">
        <v>2980</v>
      </c>
      <c r="D6" s="5">
        <v>2958</v>
      </c>
      <c r="E6" s="5">
        <v>5857</v>
      </c>
      <c r="F6" s="3">
        <v>100</v>
      </c>
      <c r="G6" s="3">
        <v>0.96</v>
      </c>
      <c r="H6" s="3">
        <v>0.79</v>
      </c>
      <c r="I6" s="3">
        <v>0.7</v>
      </c>
      <c r="J6" t="s">
        <v>22</v>
      </c>
      <c r="K6" t="s">
        <v>23</v>
      </c>
      <c r="L6">
        <v>7</v>
      </c>
      <c r="M6" t="str">
        <f>TEXT(Table1[[#This Row],[Date]], "mmm")</f>
        <v>Oct</v>
      </c>
      <c r="N6" t="str">
        <f>"Q"&amp; ROUNDUP(MONTH(Table1[[#This Row],[Date]])/3, 0)</f>
        <v>Q4</v>
      </c>
    </row>
    <row r="7" spans="1:14" x14ac:dyDescent="0.3">
      <c r="A7" s="4">
        <v>45229</v>
      </c>
      <c r="B7" s="3" t="s">
        <v>15</v>
      </c>
      <c r="C7" s="5">
        <v>2209</v>
      </c>
      <c r="D7" s="5">
        <v>2957.1428571428601</v>
      </c>
      <c r="E7" s="5">
        <v>5857</v>
      </c>
      <c r="F7" s="3">
        <v>15</v>
      </c>
      <c r="G7" s="3">
        <v>0.79</v>
      </c>
      <c r="H7" s="3">
        <v>0.79</v>
      </c>
      <c r="I7" s="3">
        <v>0.77</v>
      </c>
      <c r="J7" t="s">
        <v>22</v>
      </c>
      <c r="K7" t="s">
        <v>14</v>
      </c>
      <c r="L7">
        <v>9</v>
      </c>
      <c r="M7" t="str">
        <f>TEXT(Table1[[#This Row],[Date]], "mmm")</f>
        <v>Oct</v>
      </c>
      <c r="N7" t="str">
        <f>"Q"&amp; ROUNDUP(MONTH(Table1[[#This Row],[Date]])/3, 0)</f>
        <v>Q4</v>
      </c>
    </row>
    <row r="8" spans="1:14" x14ac:dyDescent="0.3">
      <c r="A8" s="4">
        <v>45230</v>
      </c>
      <c r="B8" s="3" t="s">
        <v>24</v>
      </c>
      <c r="C8" s="5">
        <v>2440</v>
      </c>
      <c r="D8" s="5">
        <v>2957.1428571428601</v>
      </c>
      <c r="E8" s="5">
        <v>5857</v>
      </c>
      <c r="F8" s="3">
        <v>20</v>
      </c>
      <c r="G8" s="3">
        <v>0.75</v>
      </c>
      <c r="H8" s="3">
        <v>0.72</v>
      </c>
      <c r="I8" s="3">
        <v>0.93</v>
      </c>
      <c r="J8" t="s">
        <v>22</v>
      </c>
      <c r="K8" t="s">
        <v>17</v>
      </c>
      <c r="L8">
        <v>5</v>
      </c>
      <c r="M8" t="str">
        <f>TEXT(Table1[[#This Row],[Date]], "mmm")</f>
        <v>Oct</v>
      </c>
      <c r="N8" t="str">
        <f>"Q"&amp; ROUNDUP(MONTH(Table1[[#This Row],[Date]])/3, 0)</f>
        <v>Q4</v>
      </c>
    </row>
    <row r="9" spans="1:14" x14ac:dyDescent="0.3">
      <c r="A9" s="4">
        <v>45231</v>
      </c>
      <c r="B9" s="3" t="s">
        <v>24</v>
      </c>
      <c r="C9" s="5">
        <v>2000</v>
      </c>
      <c r="D9" s="5">
        <v>1328.57142857143</v>
      </c>
      <c r="E9" s="5">
        <v>4428.5714285714303</v>
      </c>
      <c r="F9" s="3">
        <v>90</v>
      </c>
      <c r="G9" s="3">
        <v>0.92</v>
      </c>
      <c r="H9" s="3">
        <v>0.99</v>
      </c>
      <c r="I9" s="3">
        <v>0.74</v>
      </c>
      <c r="J9" t="s">
        <v>19</v>
      </c>
      <c r="K9" t="s">
        <v>17</v>
      </c>
      <c r="L9">
        <v>6</v>
      </c>
      <c r="M9" t="str">
        <f>TEXT(Table1[[#This Row],[Date]], "mmm")</f>
        <v>Nov</v>
      </c>
      <c r="N9" t="str">
        <f>"Q"&amp; ROUNDUP(MONTH(Table1[[#This Row],[Date]])/3, 0)</f>
        <v>Q4</v>
      </c>
    </row>
    <row r="10" spans="1:14" x14ac:dyDescent="0.3">
      <c r="A10" s="4">
        <v>45232</v>
      </c>
      <c r="B10" s="3" t="s">
        <v>24</v>
      </c>
      <c r="C10" s="5">
        <v>1431</v>
      </c>
      <c r="D10" s="5">
        <v>1328.57142857143</v>
      </c>
      <c r="E10" s="5">
        <v>4428.5714285714303</v>
      </c>
      <c r="F10" s="3">
        <v>30</v>
      </c>
      <c r="G10" s="3">
        <v>0.7</v>
      </c>
      <c r="H10" s="3">
        <v>0.99</v>
      </c>
      <c r="I10" s="3">
        <v>0.95</v>
      </c>
      <c r="J10" t="s">
        <v>19</v>
      </c>
      <c r="K10" t="s">
        <v>23</v>
      </c>
      <c r="L10">
        <v>8</v>
      </c>
      <c r="M10" t="str">
        <f>TEXT(Table1[[#This Row],[Date]], "mmm")</f>
        <v>Nov</v>
      </c>
      <c r="N10" t="str">
        <f>"Q"&amp; ROUNDUP(MONTH(Table1[[#This Row],[Date]])/3, 0)</f>
        <v>Q4</v>
      </c>
    </row>
    <row r="11" spans="1:14" x14ac:dyDescent="0.3">
      <c r="A11" s="4">
        <v>45233</v>
      </c>
      <c r="B11" s="3" t="s">
        <v>15</v>
      </c>
      <c r="C11" s="5">
        <v>3000</v>
      </c>
      <c r="D11" s="5">
        <v>1328.57142857143</v>
      </c>
      <c r="E11" s="5">
        <v>4428.5714285714303</v>
      </c>
      <c r="F11" s="3">
        <v>15</v>
      </c>
      <c r="G11" s="3">
        <v>0.91</v>
      </c>
      <c r="H11" s="3">
        <v>0.98</v>
      </c>
      <c r="I11" s="3">
        <v>0.89</v>
      </c>
      <c r="J11" t="s">
        <v>19</v>
      </c>
      <c r="K11" t="s">
        <v>23</v>
      </c>
      <c r="L11">
        <v>4</v>
      </c>
      <c r="M11" t="str">
        <f>TEXT(Table1[[#This Row],[Date]], "mmm")</f>
        <v>Nov</v>
      </c>
      <c r="N11" t="str">
        <f>"Q"&amp; ROUNDUP(MONTH(Table1[[#This Row],[Date]])/3, 0)</f>
        <v>Q4</v>
      </c>
    </row>
    <row r="12" spans="1:14" x14ac:dyDescent="0.3">
      <c r="A12" s="4">
        <v>45060</v>
      </c>
      <c r="B12" s="3" t="s">
        <v>15</v>
      </c>
      <c r="C12" s="5">
        <v>4000</v>
      </c>
      <c r="D12" s="5">
        <v>1328.57142857143</v>
      </c>
      <c r="E12" s="5">
        <v>4428.5714285714303</v>
      </c>
      <c r="F12" s="3">
        <v>40</v>
      </c>
      <c r="G12" s="3">
        <v>0.74</v>
      </c>
      <c r="H12" s="3">
        <v>0.85</v>
      </c>
      <c r="I12" s="3">
        <v>0.7</v>
      </c>
      <c r="J12" t="s">
        <v>19</v>
      </c>
      <c r="K12" t="s">
        <v>14</v>
      </c>
      <c r="L12">
        <v>3</v>
      </c>
      <c r="M12" t="str">
        <f>TEXT(Table1[[#This Row],[Date]], "mmm")</f>
        <v>May</v>
      </c>
      <c r="N12" t="str">
        <f>"Q"&amp; ROUNDUP(MONTH(Table1[[#This Row],[Date]])/3, 0)</f>
        <v>Q2</v>
      </c>
    </row>
    <row r="13" spans="1:14" x14ac:dyDescent="0.3">
      <c r="A13" s="4">
        <v>45225</v>
      </c>
      <c r="B13" s="3" t="s">
        <v>12</v>
      </c>
      <c r="C13" s="5">
        <v>1000</v>
      </c>
      <c r="D13" s="5">
        <v>1328.57142857143</v>
      </c>
      <c r="E13" s="5">
        <v>4428.5714285714303</v>
      </c>
      <c r="F13" s="3">
        <v>100</v>
      </c>
      <c r="G13" s="3">
        <v>0.9</v>
      </c>
      <c r="H13" s="3">
        <v>0.9</v>
      </c>
      <c r="I13" s="3">
        <v>0.72</v>
      </c>
      <c r="J13" t="s">
        <v>19</v>
      </c>
      <c r="K13" t="s">
        <v>17</v>
      </c>
      <c r="L13">
        <v>2</v>
      </c>
      <c r="M13" t="str">
        <f>TEXT(Table1[[#This Row],[Date]], "mmm")</f>
        <v>Oct</v>
      </c>
      <c r="N13" t="str">
        <f>"Q"&amp; ROUNDUP(MONTH(Table1[[#This Row],[Date]])/3, 0)</f>
        <v>Q4</v>
      </c>
    </row>
    <row r="14" spans="1:14" x14ac:dyDescent="0.3">
      <c r="A14" s="4">
        <v>44995</v>
      </c>
      <c r="B14" s="3" t="s">
        <v>12</v>
      </c>
      <c r="C14" s="5">
        <v>2000</v>
      </c>
      <c r="D14" s="5">
        <v>1328.57142857143</v>
      </c>
      <c r="E14" s="5">
        <v>4428.5714285714303</v>
      </c>
      <c r="F14" s="3">
        <v>15</v>
      </c>
      <c r="G14" s="3">
        <v>0.95</v>
      </c>
      <c r="H14" s="3">
        <v>0.97</v>
      </c>
      <c r="I14" s="3">
        <v>0.81</v>
      </c>
      <c r="J14" t="s">
        <v>19</v>
      </c>
      <c r="K14" t="s">
        <v>20</v>
      </c>
      <c r="L14">
        <v>7</v>
      </c>
      <c r="M14" t="str">
        <f>TEXT(Table1[[#This Row],[Date]], "mmm")</f>
        <v>Mar</v>
      </c>
      <c r="N14" t="str">
        <f>"Q"&amp; ROUNDUP(MONTH(Table1[[#This Row],[Date]])/3, 0)</f>
        <v>Q1</v>
      </c>
    </row>
    <row r="15" spans="1:14" x14ac:dyDescent="0.3">
      <c r="A15" s="4">
        <v>45044</v>
      </c>
      <c r="B15" s="3" t="s">
        <v>18</v>
      </c>
      <c r="C15" s="5">
        <v>2000</v>
      </c>
      <c r="D15" s="5">
        <v>1328.57142857143</v>
      </c>
      <c r="E15" s="5">
        <v>4428.5714285714303</v>
      </c>
      <c r="F15" s="3">
        <v>20</v>
      </c>
      <c r="G15" s="3">
        <v>0.99</v>
      </c>
      <c r="H15" s="3">
        <v>0.79</v>
      </c>
      <c r="I15" s="3">
        <v>0.75</v>
      </c>
      <c r="J15" t="s">
        <v>19</v>
      </c>
      <c r="K15" t="s">
        <v>23</v>
      </c>
      <c r="L15">
        <v>9</v>
      </c>
      <c r="M15" t="str">
        <f>TEXT(Table1[[#This Row],[Date]], "mmm")</f>
        <v>Apr</v>
      </c>
      <c r="N15" t="str">
        <f>"Q"&amp; ROUNDUP(MONTH(Table1[[#This Row],[Date]])/3, 0)</f>
        <v>Q2</v>
      </c>
    </row>
    <row r="16" spans="1:14" x14ac:dyDescent="0.3">
      <c r="A16" s="4">
        <v>45218</v>
      </c>
      <c r="B16" s="3" t="s">
        <v>18</v>
      </c>
      <c r="C16" s="5">
        <v>4000</v>
      </c>
      <c r="D16" s="5">
        <v>1328.57142857143</v>
      </c>
      <c r="E16" s="5">
        <v>1428.57142857143</v>
      </c>
      <c r="F16" s="3">
        <v>45</v>
      </c>
      <c r="G16" s="3">
        <v>0.86</v>
      </c>
      <c r="H16" s="3">
        <v>0.97</v>
      </c>
      <c r="I16" s="3">
        <v>0.89</v>
      </c>
      <c r="J16" t="s">
        <v>13</v>
      </c>
      <c r="K16" t="s">
        <v>25</v>
      </c>
      <c r="L16">
        <v>5</v>
      </c>
      <c r="M16" t="str">
        <f>TEXT(Table1[[#This Row],[Date]], "mmm")</f>
        <v>Oct</v>
      </c>
      <c r="N16" t="str">
        <f>"Q"&amp; ROUNDUP(MONTH(Table1[[#This Row],[Date]])/3, 0)</f>
        <v>Q4</v>
      </c>
    </row>
    <row r="17" spans="1:14" x14ac:dyDescent="0.3">
      <c r="A17" s="4">
        <v>45160</v>
      </c>
      <c r="B17" s="3" t="s">
        <v>12</v>
      </c>
      <c r="C17" s="5">
        <v>6000</v>
      </c>
      <c r="D17" s="5">
        <v>1328.57142857143</v>
      </c>
      <c r="E17" s="5">
        <v>1428.57142857143</v>
      </c>
      <c r="F17" s="3">
        <v>43</v>
      </c>
      <c r="G17" s="3">
        <v>0.83</v>
      </c>
      <c r="H17" s="3">
        <v>0.72</v>
      </c>
      <c r="I17" s="3">
        <v>0.74</v>
      </c>
      <c r="J17" t="s">
        <v>16</v>
      </c>
      <c r="K17" t="s">
        <v>14</v>
      </c>
      <c r="L17">
        <v>6</v>
      </c>
      <c r="M17" t="str">
        <f>TEXT(Table1[[#This Row],[Date]], "mmm")</f>
        <v>Aug</v>
      </c>
      <c r="N17" t="str">
        <f>"Q"&amp; ROUNDUP(MONTH(Table1[[#This Row],[Date]])/3, 0)</f>
        <v>Q3</v>
      </c>
    </row>
    <row r="18" spans="1:14" x14ac:dyDescent="0.3">
      <c r="A18" s="4">
        <v>45147</v>
      </c>
      <c r="B18" s="3" t="s">
        <v>15</v>
      </c>
      <c r="C18" s="5">
        <v>6500</v>
      </c>
      <c r="D18" s="5">
        <v>1328.57142857143</v>
      </c>
      <c r="E18" s="5">
        <v>1428.57142857143</v>
      </c>
      <c r="F18" s="3">
        <v>43</v>
      </c>
      <c r="G18" s="3">
        <v>0.74</v>
      </c>
      <c r="H18" s="3">
        <v>0.78</v>
      </c>
      <c r="I18" s="3">
        <v>0.94</v>
      </c>
      <c r="J18" t="s">
        <v>19</v>
      </c>
      <c r="K18" t="s">
        <v>17</v>
      </c>
      <c r="L18">
        <v>8</v>
      </c>
      <c r="M18" t="str">
        <f>TEXT(Table1[[#This Row],[Date]], "mmm")</f>
        <v>Aug</v>
      </c>
      <c r="N18" t="str">
        <f>"Q"&amp; ROUNDUP(MONTH(Table1[[#This Row],[Date]])/3, 0)</f>
        <v>Q3</v>
      </c>
    </row>
    <row r="19" spans="1:14" x14ac:dyDescent="0.3">
      <c r="A19" s="4">
        <v>45078</v>
      </c>
      <c r="B19" s="3" t="s">
        <v>24</v>
      </c>
      <c r="C19" s="5">
        <v>1200</v>
      </c>
      <c r="D19" s="5">
        <v>1328.57142857143</v>
      </c>
      <c r="E19" s="5">
        <v>1428.57142857143</v>
      </c>
      <c r="F19" s="3">
        <v>43</v>
      </c>
      <c r="G19" s="3">
        <v>0.8</v>
      </c>
      <c r="H19" s="3">
        <v>0.84</v>
      </c>
      <c r="I19" s="3">
        <v>0.81</v>
      </c>
      <c r="J19" t="s">
        <v>21</v>
      </c>
      <c r="K19" t="s">
        <v>17</v>
      </c>
      <c r="L19">
        <v>4</v>
      </c>
      <c r="M19" t="str">
        <f>TEXT(Table1[[#This Row],[Date]], "mmm")</f>
        <v>Jun</v>
      </c>
      <c r="N19" t="str">
        <f>"Q"&amp; ROUNDUP(MONTH(Table1[[#This Row],[Date]])/3, 0)</f>
        <v>Q2</v>
      </c>
    </row>
    <row r="20" spans="1:14" x14ac:dyDescent="0.3">
      <c r="A20" s="4">
        <v>44986</v>
      </c>
      <c r="B20" s="3" t="s">
        <v>24</v>
      </c>
      <c r="C20" s="5">
        <v>3000</v>
      </c>
      <c r="D20" s="5">
        <v>1328.57142857143</v>
      </c>
      <c r="E20" s="5">
        <v>1428.5714285714287</v>
      </c>
      <c r="F20" s="3">
        <v>43</v>
      </c>
      <c r="G20" s="3">
        <v>0.89</v>
      </c>
      <c r="H20" s="3">
        <v>0.99</v>
      </c>
      <c r="I20" s="3">
        <v>0.97</v>
      </c>
      <c r="J20" t="s">
        <v>13</v>
      </c>
      <c r="K20" t="s">
        <v>14</v>
      </c>
      <c r="L20">
        <v>3</v>
      </c>
      <c r="M20" t="str">
        <f>TEXT(Table1[[#This Row],[Date]], "mmm")</f>
        <v>Mar</v>
      </c>
      <c r="N20" t="str">
        <f>"Q"&amp; ROUNDUP(MONTH(Table1[[#This Row],[Date]])/3, 0)</f>
        <v>Q1</v>
      </c>
    </row>
    <row r="21" spans="1:14" x14ac:dyDescent="0.3">
      <c r="A21" s="4">
        <v>45257</v>
      </c>
      <c r="B21" s="3" t="s">
        <v>24</v>
      </c>
      <c r="C21" s="5">
        <v>2000</v>
      </c>
      <c r="D21" s="5">
        <v>1328.57142857143</v>
      </c>
      <c r="E21" s="5">
        <v>1428.5714285714287</v>
      </c>
      <c r="F21" s="3">
        <v>40</v>
      </c>
      <c r="G21" s="3">
        <v>0.71</v>
      </c>
      <c r="H21" s="3">
        <v>0.87</v>
      </c>
      <c r="I21" s="3">
        <v>0.94</v>
      </c>
      <c r="J21" t="s">
        <v>16</v>
      </c>
      <c r="K21" t="s">
        <v>25</v>
      </c>
      <c r="L21">
        <v>2</v>
      </c>
      <c r="M21" t="str">
        <f>TEXT(Table1[[#This Row],[Date]], "mmm")</f>
        <v>Nov</v>
      </c>
      <c r="N21" t="str">
        <f>"Q"&amp; ROUNDUP(MONTH(Table1[[#This Row],[Date]])/3, 0)</f>
        <v>Q4</v>
      </c>
    </row>
    <row r="22" spans="1:14" x14ac:dyDescent="0.3">
      <c r="A22" s="4">
        <v>45213</v>
      </c>
      <c r="B22" s="3" t="s">
        <v>24</v>
      </c>
      <c r="C22" s="5">
        <v>2000</v>
      </c>
      <c r="D22" s="5">
        <v>1328.57142857143</v>
      </c>
      <c r="E22" s="5">
        <v>1428.5714285714287</v>
      </c>
      <c r="F22" s="3">
        <v>43</v>
      </c>
      <c r="G22" s="3">
        <v>0.9</v>
      </c>
      <c r="H22" s="3">
        <v>0.72</v>
      </c>
      <c r="I22" s="3">
        <v>0.94</v>
      </c>
      <c r="J22" t="s">
        <v>19</v>
      </c>
      <c r="K22" t="s">
        <v>14</v>
      </c>
      <c r="L22">
        <v>7</v>
      </c>
      <c r="M22" t="str">
        <f>TEXT(Table1[[#This Row],[Date]], "mmm")</f>
        <v>Oct</v>
      </c>
      <c r="N22" t="str">
        <f>"Q"&amp; ROUNDUP(MONTH(Table1[[#This Row],[Date]])/3, 0)</f>
        <v>Q4</v>
      </c>
    </row>
    <row r="23" spans="1:14" x14ac:dyDescent="0.3">
      <c r="A23" s="4">
        <v>45098</v>
      </c>
      <c r="B23" s="3" t="s">
        <v>12</v>
      </c>
      <c r="C23" s="5">
        <v>3000</v>
      </c>
      <c r="D23" s="5">
        <v>5214.2857142857101</v>
      </c>
      <c r="E23" s="5">
        <v>6714.2857142857101</v>
      </c>
      <c r="F23" s="3">
        <v>100</v>
      </c>
      <c r="G23" s="3">
        <v>0.89</v>
      </c>
      <c r="H23" s="3">
        <v>0.85</v>
      </c>
      <c r="I23" s="3">
        <v>0.87</v>
      </c>
      <c r="J23" t="s">
        <v>21</v>
      </c>
      <c r="K23" t="s">
        <v>17</v>
      </c>
      <c r="L23">
        <v>9</v>
      </c>
      <c r="M23" t="str">
        <f>TEXT(Table1[[#This Row],[Date]], "mmm")</f>
        <v>Jun</v>
      </c>
      <c r="N23" t="str">
        <f>"Q"&amp; ROUNDUP(MONTH(Table1[[#This Row],[Date]])/3, 0)</f>
        <v>Q2</v>
      </c>
    </row>
    <row r="24" spans="1:14" x14ac:dyDescent="0.3">
      <c r="A24" s="4">
        <v>45130</v>
      </c>
      <c r="B24" s="3" t="s">
        <v>18</v>
      </c>
      <c r="C24" s="5">
        <v>4500</v>
      </c>
      <c r="D24" s="5">
        <v>5214.2857142857101</v>
      </c>
      <c r="E24" s="5">
        <v>6714.2857142857101</v>
      </c>
      <c r="F24" s="3">
        <v>100</v>
      </c>
      <c r="G24" s="3">
        <v>0.89</v>
      </c>
      <c r="H24" s="3">
        <v>0.8</v>
      </c>
      <c r="I24" s="3">
        <v>0.88</v>
      </c>
      <c r="J24" t="s">
        <v>13</v>
      </c>
      <c r="K24" t="s">
        <v>20</v>
      </c>
      <c r="L24">
        <v>5</v>
      </c>
      <c r="M24" t="str">
        <f>TEXT(Table1[[#This Row],[Date]], "mmm")</f>
        <v>Jul</v>
      </c>
      <c r="N24" t="str">
        <f>"Q"&amp; ROUNDUP(MONTH(Table1[[#This Row],[Date]])/3, 0)</f>
        <v>Q3</v>
      </c>
    </row>
    <row r="25" spans="1:14" x14ac:dyDescent="0.3">
      <c r="A25" s="4">
        <v>45127</v>
      </c>
      <c r="B25" s="3" t="s">
        <v>12</v>
      </c>
      <c r="C25" s="5">
        <v>5500</v>
      </c>
      <c r="D25" s="5">
        <v>1214.2857142857099</v>
      </c>
      <c r="E25" s="5">
        <v>6714.2857142857101</v>
      </c>
      <c r="F25" s="3">
        <v>100</v>
      </c>
      <c r="G25" s="3">
        <v>0.98</v>
      </c>
      <c r="H25" s="3">
        <v>0.99</v>
      </c>
      <c r="I25" s="3">
        <v>0.81</v>
      </c>
      <c r="J25" t="s">
        <v>19</v>
      </c>
      <c r="K25" t="s">
        <v>14</v>
      </c>
      <c r="L25">
        <v>6</v>
      </c>
      <c r="M25" t="str">
        <f>TEXT(Table1[[#This Row],[Date]], "mmm")</f>
        <v>Jul</v>
      </c>
      <c r="N25" t="str">
        <f>"Q"&amp; ROUNDUP(MONTH(Table1[[#This Row],[Date]])/3, 0)</f>
        <v>Q3</v>
      </c>
    </row>
    <row r="26" spans="1:14" x14ac:dyDescent="0.3">
      <c r="A26" s="4">
        <v>45129</v>
      </c>
      <c r="B26" s="3" t="s">
        <v>15</v>
      </c>
      <c r="C26" s="5">
        <v>1000</v>
      </c>
      <c r="D26" s="5">
        <v>5214.2857142857101</v>
      </c>
      <c r="E26" s="5">
        <v>6714.2857142857101</v>
      </c>
      <c r="F26" s="3">
        <v>100</v>
      </c>
      <c r="G26" s="3">
        <v>0.81</v>
      </c>
      <c r="H26" s="3">
        <v>0.91</v>
      </c>
      <c r="I26" s="3">
        <v>0.95</v>
      </c>
      <c r="J26" t="s">
        <v>21</v>
      </c>
      <c r="K26" t="s">
        <v>25</v>
      </c>
      <c r="L26">
        <v>8</v>
      </c>
      <c r="M26" t="str">
        <f>TEXT(Table1[[#This Row],[Date]], "mmm")</f>
        <v>Jul</v>
      </c>
      <c r="N26" t="str">
        <f>"Q"&amp; ROUNDUP(MONTH(Table1[[#This Row],[Date]])/3, 0)</f>
        <v>Q3</v>
      </c>
    </row>
    <row r="27" spans="1:14" x14ac:dyDescent="0.3">
      <c r="A27" s="4">
        <v>45018</v>
      </c>
      <c r="B27" s="3" t="s">
        <v>12</v>
      </c>
      <c r="C27" s="5">
        <v>2000</v>
      </c>
      <c r="D27" s="5">
        <v>5214.2857142857101</v>
      </c>
      <c r="E27" s="5">
        <v>6714.2857142857101</v>
      </c>
      <c r="F27" s="3">
        <v>100</v>
      </c>
      <c r="G27" s="3">
        <v>0.97</v>
      </c>
      <c r="H27" s="3">
        <v>0.85</v>
      </c>
      <c r="I27" s="3">
        <v>0.85</v>
      </c>
      <c r="J27" t="s">
        <v>13</v>
      </c>
      <c r="K27" t="s">
        <v>14</v>
      </c>
      <c r="L27">
        <v>4</v>
      </c>
      <c r="M27" t="str">
        <f>TEXT(Table1[[#This Row],[Date]], "mmm")</f>
        <v>Apr</v>
      </c>
      <c r="N27" t="str">
        <f>"Q"&amp; ROUNDUP(MONTH(Table1[[#This Row],[Date]])/3, 0)</f>
        <v>Q2</v>
      </c>
    </row>
    <row r="28" spans="1:14" x14ac:dyDescent="0.3">
      <c r="A28" s="4">
        <v>44979</v>
      </c>
      <c r="B28" s="3" t="s">
        <v>12</v>
      </c>
      <c r="C28" s="5">
        <v>2000</v>
      </c>
      <c r="D28" s="5">
        <v>5214.2857142857101</v>
      </c>
      <c r="E28" s="5">
        <v>6714.2857142857101</v>
      </c>
      <c r="F28" s="3">
        <v>100</v>
      </c>
      <c r="G28" s="3">
        <v>0.89</v>
      </c>
      <c r="H28" s="3">
        <v>0.94</v>
      </c>
      <c r="I28" s="3">
        <v>0.8</v>
      </c>
      <c r="J28" t="s">
        <v>16</v>
      </c>
      <c r="K28" t="s">
        <v>14</v>
      </c>
      <c r="L28">
        <v>3</v>
      </c>
      <c r="M28" t="str">
        <f>TEXT(Table1[[#This Row],[Date]], "mmm")</f>
        <v>Feb</v>
      </c>
      <c r="N28" t="str">
        <f>"Q"&amp; ROUNDUP(MONTH(Table1[[#This Row],[Date]])/3, 0)</f>
        <v>Q1</v>
      </c>
    </row>
    <row r="29" spans="1:14" x14ac:dyDescent="0.3">
      <c r="A29" s="4">
        <v>45179</v>
      </c>
      <c r="B29" s="3" t="s">
        <v>12</v>
      </c>
      <c r="C29" s="5">
        <v>2000</v>
      </c>
      <c r="D29" s="5">
        <v>5214.2857142857101</v>
      </c>
      <c r="E29" s="5">
        <v>6714.2857142857101</v>
      </c>
      <c r="F29" s="3">
        <v>100</v>
      </c>
      <c r="G29" s="3">
        <v>0.88</v>
      </c>
      <c r="H29" s="3">
        <v>0.94</v>
      </c>
      <c r="I29" s="3">
        <v>0.7</v>
      </c>
      <c r="J29" t="s">
        <v>19</v>
      </c>
      <c r="K29" t="s">
        <v>20</v>
      </c>
      <c r="L29">
        <v>2</v>
      </c>
      <c r="M29" t="str">
        <f>TEXT(Table1[[#This Row],[Date]], "mmm")</f>
        <v>Sep</v>
      </c>
      <c r="N29" t="str">
        <f>"Q"&amp; ROUNDUP(MONTH(Table1[[#This Row],[Date]])/3, 0)</f>
        <v>Q3</v>
      </c>
    </row>
    <row r="30" spans="1:14" x14ac:dyDescent="0.3">
      <c r="A30" s="4">
        <v>45275</v>
      </c>
      <c r="B30" s="3" t="s">
        <v>12</v>
      </c>
      <c r="C30" s="5">
        <v>2000</v>
      </c>
      <c r="D30" s="5">
        <v>2957.1428571428601</v>
      </c>
      <c r="E30" s="5">
        <v>2857.1428571428573</v>
      </c>
      <c r="F30" s="3">
        <v>90</v>
      </c>
      <c r="G30" s="3">
        <v>0.75</v>
      </c>
      <c r="H30" s="3">
        <v>0.77</v>
      </c>
      <c r="I30" s="3">
        <v>0.84</v>
      </c>
      <c r="J30" t="s">
        <v>21</v>
      </c>
      <c r="K30" t="s">
        <v>23</v>
      </c>
      <c r="L30">
        <v>7</v>
      </c>
      <c r="M30" t="str">
        <f>TEXT(Table1[[#This Row],[Date]], "mmm")</f>
        <v>Dec</v>
      </c>
      <c r="N30" t="str">
        <f>"Q"&amp; ROUNDUP(MONTH(Table1[[#This Row],[Date]])/3, 0)</f>
        <v>Q4</v>
      </c>
    </row>
    <row r="31" spans="1:14" x14ac:dyDescent="0.3">
      <c r="A31" s="4">
        <v>44997</v>
      </c>
      <c r="B31" s="3" t="s">
        <v>12</v>
      </c>
      <c r="C31" s="5">
        <v>1700</v>
      </c>
      <c r="D31" s="5">
        <v>2957.1428571428601</v>
      </c>
      <c r="E31" s="5">
        <v>2857.1428571428573</v>
      </c>
      <c r="F31" s="3">
        <v>80</v>
      </c>
      <c r="G31" s="3">
        <v>0.73</v>
      </c>
      <c r="H31" s="3">
        <v>0.96</v>
      </c>
      <c r="I31" s="3">
        <v>0.93</v>
      </c>
      <c r="J31" t="s">
        <v>21</v>
      </c>
      <c r="K31" t="s">
        <v>25</v>
      </c>
      <c r="L31">
        <v>4</v>
      </c>
      <c r="M31" t="str">
        <f>TEXT(Table1[[#This Row],[Date]], "mmm")</f>
        <v>Mar</v>
      </c>
      <c r="N31" t="str">
        <f>"Q"&amp; ROUNDUP(MONTH(Table1[[#This Row],[Date]])/3, 0)</f>
        <v>Q1</v>
      </c>
    </row>
    <row r="32" spans="1:14" x14ac:dyDescent="0.3">
      <c r="A32" s="4">
        <v>45179</v>
      </c>
      <c r="B32" s="3" t="s">
        <v>12</v>
      </c>
      <c r="C32" s="5">
        <v>1600</v>
      </c>
      <c r="D32" s="5">
        <v>2957.1428571428601</v>
      </c>
      <c r="E32" s="5">
        <v>2857.1428571428573</v>
      </c>
      <c r="F32" s="3">
        <v>90</v>
      </c>
      <c r="G32" s="3">
        <v>0.93</v>
      </c>
      <c r="H32" s="3">
        <v>0.74</v>
      </c>
      <c r="I32" s="3">
        <v>0.93</v>
      </c>
      <c r="J32" t="s">
        <v>19</v>
      </c>
      <c r="K32" t="s">
        <v>14</v>
      </c>
      <c r="L32">
        <v>5</v>
      </c>
      <c r="M32" t="str">
        <f>TEXT(Table1[[#This Row],[Date]], "mmm")</f>
        <v>Sep</v>
      </c>
      <c r="N32" t="str">
        <f>"Q"&amp; ROUNDUP(MONTH(Table1[[#This Row],[Date]])/3, 0)</f>
        <v>Q3</v>
      </c>
    </row>
    <row r="33" spans="1:14" x14ac:dyDescent="0.3">
      <c r="A33" s="4">
        <v>44928</v>
      </c>
      <c r="B33" s="3" t="s">
        <v>15</v>
      </c>
      <c r="C33" s="5">
        <v>1200</v>
      </c>
      <c r="D33" s="5">
        <v>2957.1428571428601</v>
      </c>
      <c r="E33" s="5">
        <v>2857.1428571428573</v>
      </c>
      <c r="F33" s="3">
        <v>110</v>
      </c>
      <c r="G33" s="3">
        <v>0.85</v>
      </c>
      <c r="H33" s="3">
        <v>0.7</v>
      </c>
      <c r="I33" s="3">
        <v>0.99</v>
      </c>
      <c r="J33" t="s">
        <v>21</v>
      </c>
      <c r="K33" t="s">
        <v>17</v>
      </c>
      <c r="L33">
        <v>6</v>
      </c>
      <c r="M33" t="str">
        <f>TEXT(Table1[[#This Row],[Date]], "mmm")</f>
        <v>Jan</v>
      </c>
      <c r="N33" t="str">
        <f>"Q"&amp; ROUNDUP(MONTH(Table1[[#This Row],[Date]])/3, 0)</f>
        <v>Q1</v>
      </c>
    </row>
    <row r="34" spans="1:14" x14ac:dyDescent="0.3">
      <c r="A34" s="4">
        <v>45227</v>
      </c>
      <c r="B34" s="3" t="s">
        <v>18</v>
      </c>
      <c r="C34" s="5">
        <v>2500</v>
      </c>
      <c r="D34" s="5">
        <v>2957.1428571428601</v>
      </c>
      <c r="E34" s="5">
        <v>2857.1428571428573</v>
      </c>
      <c r="F34" s="3">
        <v>90</v>
      </c>
      <c r="G34" s="3">
        <v>0.92</v>
      </c>
      <c r="H34" s="3">
        <v>0.99</v>
      </c>
      <c r="I34" s="3">
        <v>0.88</v>
      </c>
      <c r="J34" t="s">
        <v>13</v>
      </c>
      <c r="K34" t="s">
        <v>20</v>
      </c>
      <c r="L34">
        <v>8</v>
      </c>
      <c r="M34" t="str">
        <f>TEXT(Table1[[#This Row],[Date]], "mmm")</f>
        <v>Oct</v>
      </c>
      <c r="N34" t="str">
        <f>"Q"&amp; ROUNDUP(MONTH(Table1[[#This Row],[Date]])/3, 0)</f>
        <v>Q4</v>
      </c>
    </row>
    <row r="35" spans="1:14" x14ac:dyDescent="0.3">
      <c r="A35" s="4">
        <v>45103</v>
      </c>
      <c r="B35" s="3" t="s">
        <v>18</v>
      </c>
      <c r="C35" s="5">
        <v>2100</v>
      </c>
      <c r="D35" s="5">
        <v>2957.1428571428601</v>
      </c>
      <c r="E35" s="5">
        <v>2857.1428571428573</v>
      </c>
      <c r="F35" s="3">
        <v>100</v>
      </c>
      <c r="G35" s="3">
        <v>0.75</v>
      </c>
      <c r="H35" s="3">
        <v>0.97</v>
      </c>
      <c r="I35" s="3">
        <v>0.83</v>
      </c>
      <c r="J35" t="s">
        <v>16</v>
      </c>
      <c r="K35" t="s">
        <v>23</v>
      </c>
      <c r="L35">
        <v>4</v>
      </c>
      <c r="M35" t="str">
        <f>TEXT(Table1[[#This Row],[Date]], "mmm")</f>
        <v>Jun</v>
      </c>
      <c r="N35" t="str">
        <f>"Q"&amp; ROUNDUP(MONTH(Table1[[#This Row],[Date]])/3, 0)</f>
        <v>Q2</v>
      </c>
    </row>
    <row r="36" spans="1:14" x14ac:dyDescent="0.3">
      <c r="A36" s="4">
        <v>45243</v>
      </c>
      <c r="B36" s="3" t="s">
        <v>18</v>
      </c>
      <c r="C36" s="5">
        <v>2150</v>
      </c>
      <c r="D36" s="5">
        <v>2957.1428571428601</v>
      </c>
      <c r="E36" s="5">
        <v>2857.1428571428573</v>
      </c>
      <c r="F36" s="3">
        <v>90</v>
      </c>
      <c r="G36" s="3">
        <v>0.77</v>
      </c>
      <c r="H36" s="3">
        <v>0.97</v>
      </c>
      <c r="I36" s="3">
        <v>0.78</v>
      </c>
      <c r="J36" t="s">
        <v>13</v>
      </c>
      <c r="K36" t="s">
        <v>25</v>
      </c>
      <c r="L36">
        <v>3</v>
      </c>
      <c r="M36" t="str">
        <f>TEXT(Table1[[#This Row],[Date]], "mmm")</f>
        <v>Nov</v>
      </c>
      <c r="N36" t="str">
        <f>"Q"&amp; ROUNDUP(MONTH(Table1[[#This Row],[Date]])/3, 0)</f>
        <v>Q4</v>
      </c>
    </row>
    <row r="37" spans="1:14" x14ac:dyDescent="0.3">
      <c r="A37" s="4">
        <v>45107</v>
      </c>
      <c r="B37" s="3" t="s">
        <v>18</v>
      </c>
      <c r="C37" s="5">
        <v>2200</v>
      </c>
      <c r="D37" s="5">
        <v>757.142857142857</v>
      </c>
      <c r="E37" s="5">
        <v>857.14285714285711</v>
      </c>
      <c r="F37" s="3">
        <v>228</v>
      </c>
      <c r="G37" s="3">
        <v>0.79</v>
      </c>
      <c r="H37" s="3">
        <v>0.75</v>
      </c>
      <c r="I37" s="3">
        <v>0.93</v>
      </c>
      <c r="J37" t="s">
        <v>16</v>
      </c>
      <c r="K37" t="s">
        <v>14</v>
      </c>
      <c r="L37">
        <v>2</v>
      </c>
      <c r="M37" t="str">
        <f>TEXT(Table1[[#This Row],[Date]], "mmm")</f>
        <v>Jun</v>
      </c>
      <c r="N37" t="str">
        <f>"Q"&amp; ROUNDUP(MONTH(Table1[[#This Row],[Date]])/3, 0)</f>
        <v>Q2</v>
      </c>
    </row>
    <row r="38" spans="1:14" x14ac:dyDescent="0.3">
      <c r="A38" s="4">
        <v>45030</v>
      </c>
      <c r="B38" s="3" t="s">
        <v>15</v>
      </c>
      <c r="C38" s="5">
        <v>1800</v>
      </c>
      <c r="D38" s="5">
        <v>757.142857142857</v>
      </c>
      <c r="E38" s="5">
        <v>857.14285714285711</v>
      </c>
      <c r="F38" s="3">
        <v>220</v>
      </c>
      <c r="G38" s="3">
        <v>0.81</v>
      </c>
      <c r="H38" s="3">
        <v>0.98</v>
      </c>
      <c r="I38" s="3">
        <v>0.86</v>
      </c>
      <c r="J38" t="s">
        <v>19</v>
      </c>
      <c r="K38" t="s">
        <v>17</v>
      </c>
      <c r="L38">
        <v>7</v>
      </c>
      <c r="M38" t="str">
        <f>TEXT(Table1[[#This Row],[Date]], "mmm")</f>
        <v>Apr</v>
      </c>
      <c r="N38" t="str">
        <f>"Q"&amp; ROUNDUP(MONTH(Table1[[#This Row],[Date]])/3, 0)</f>
        <v>Q2</v>
      </c>
    </row>
    <row r="39" spans="1:14" x14ac:dyDescent="0.3">
      <c r="A39" s="4">
        <v>45266</v>
      </c>
      <c r="B39" s="3" t="s">
        <v>24</v>
      </c>
      <c r="C39" s="5">
        <v>1800</v>
      </c>
      <c r="D39" s="5">
        <v>757.142857142857</v>
      </c>
      <c r="E39" s="5">
        <v>857.14285714285711</v>
      </c>
      <c r="F39" s="3">
        <v>228</v>
      </c>
      <c r="G39" s="3">
        <v>0.86</v>
      </c>
      <c r="H39" s="3">
        <v>0.82</v>
      </c>
      <c r="I39" s="3">
        <v>0.86</v>
      </c>
      <c r="J39" t="s">
        <v>21</v>
      </c>
      <c r="K39" t="s">
        <v>20</v>
      </c>
      <c r="L39">
        <v>9</v>
      </c>
      <c r="M39" t="str">
        <f>TEXT(Table1[[#This Row],[Date]], "mmm")</f>
        <v>Dec</v>
      </c>
      <c r="N39" t="str">
        <f>"Q"&amp; ROUNDUP(MONTH(Table1[[#This Row],[Date]])/3, 0)</f>
        <v>Q4</v>
      </c>
    </row>
    <row r="40" spans="1:14" x14ac:dyDescent="0.3">
      <c r="A40" s="4">
        <v>45054</v>
      </c>
      <c r="B40" s="3" t="s">
        <v>12</v>
      </c>
      <c r="C40" s="5">
        <v>1414</v>
      </c>
      <c r="D40" s="5">
        <v>757.142857142857</v>
      </c>
      <c r="E40" s="5">
        <v>857.14285714285711</v>
      </c>
      <c r="F40" s="3">
        <v>238</v>
      </c>
      <c r="G40" s="3">
        <v>0.72</v>
      </c>
      <c r="H40" s="3">
        <v>0.95</v>
      </c>
      <c r="I40" s="3">
        <v>0.9</v>
      </c>
      <c r="J40" t="s">
        <v>22</v>
      </c>
      <c r="K40" t="s">
        <v>23</v>
      </c>
      <c r="L40">
        <v>5</v>
      </c>
      <c r="M40" t="str">
        <f>TEXT(Table1[[#This Row],[Date]], "mmm")</f>
        <v>May</v>
      </c>
      <c r="N40" t="str">
        <f>"Q"&amp; ROUNDUP(MONTH(Table1[[#This Row],[Date]])/3, 0)</f>
        <v>Q2</v>
      </c>
    </row>
    <row r="41" spans="1:14" x14ac:dyDescent="0.3">
      <c r="A41" s="4">
        <v>45019</v>
      </c>
      <c r="B41" s="3" t="s">
        <v>18</v>
      </c>
      <c r="C41" s="5">
        <v>2100</v>
      </c>
      <c r="D41" s="5">
        <v>757.142857142857</v>
      </c>
      <c r="E41" s="5">
        <v>857.14285714285711</v>
      </c>
      <c r="F41" s="3">
        <v>228</v>
      </c>
      <c r="G41" s="3">
        <v>0.71</v>
      </c>
      <c r="H41" s="3">
        <v>0.8</v>
      </c>
      <c r="I41" s="3">
        <v>0.76</v>
      </c>
      <c r="J41" t="s">
        <v>22</v>
      </c>
      <c r="K41" t="s">
        <v>25</v>
      </c>
      <c r="L41">
        <v>5</v>
      </c>
      <c r="M41" t="str">
        <f>TEXT(Table1[[#This Row],[Date]], "mmm")</f>
        <v>Apr</v>
      </c>
      <c r="N41" t="str">
        <f>"Q"&amp; ROUNDUP(MONTH(Table1[[#This Row],[Date]])/3, 0)</f>
        <v>Q2</v>
      </c>
    </row>
    <row r="42" spans="1:14" x14ac:dyDescent="0.3">
      <c r="A42" s="4">
        <v>45078</v>
      </c>
      <c r="B42" s="3" t="s">
        <v>18</v>
      </c>
      <c r="C42" s="5">
        <v>2500</v>
      </c>
      <c r="D42" s="5">
        <v>757.142857142857</v>
      </c>
      <c r="E42" s="5">
        <v>857.14285714285711</v>
      </c>
      <c r="F42" s="3">
        <v>230</v>
      </c>
      <c r="G42" s="3">
        <v>0.97</v>
      </c>
      <c r="H42" s="3">
        <v>0.95</v>
      </c>
      <c r="I42" s="3">
        <v>0.85</v>
      </c>
      <c r="J42" t="s">
        <v>22</v>
      </c>
      <c r="K42" t="s">
        <v>14</v>
      </c>
      <c r="L42">
        <v>8</v>
      </c>
      <c r="M42" t="str">
        <f>TEXT(Table1[[#This Row],[Date]], "mmm")</f>
        <v>Jun</v>
      </c>
      <c r="N42" t="str">
        <f>"Q"&amp; ROUNDUP(MONTH(Table1[[#This Row],[Date]])/3, 0)</f>
        <v>Q2</v>
      </c>
    </row>
    <row r="43" spans="1:14" x14ac:dyDescent="0.3">
      <c r="A43" s="4">
        <v>45233</v>
      </c>
      <c r="B43" s="3" t="s">
        <v>24</v>
      </c>
      <c r="C43" s="5">
        <v>2200</v>
      </c>
      <c r="D43" s="5">
        <v>757.142857142857</v>
      </c>
      <c r="E43" s="5">
        <v>857.14285714285711</v>
      </c>
      <c r="F43" s="3">
        <v>228</v>
      </c>
      <c r="G43" s="3">
        <v>0.95</v>
      </c>
      <c r="H43" s="3">
        <v>0.85</v>
      </c>
      <c r="I43" s="3">
        <v>0.91</v>
      </c>
      <c r="J43" t="s">
        <v>19</v>
      </c>
      <c r="K43" t="s">
        <v>17</v>
      </c>
      <c r="L43">
        <v>4</v>
      </c>
      <c r="M43" t="str">
        <f>TEXT(Table1[[#This Row],[Date]], "mmm")</f>
        <v>Nov</v>
      </c>
      <c r="N43" t="str">
        <f>"Q"&amp; ROUNDUP(MONTH(Table1[[#This Row],[Date]])/3, 0)</f>
        <v>Q4</v>
      </c>
    </row>
    <row r="44" spans="1:14" x14ac:dyDescent="0.3">
      <c r="A44" s="4">
        <v>45060</v>
      </c>
      <c r="B44" s="3" t="s">
        <v>12</v>
      </c>
      <c r="C44" s="5">
        <v>2500</v>
      </c>
      <c r="D44" s="5">
        <v>914.28571428571399</v>
      </c>
      <c r="E44" s="5">
        <v>714.28571428571433</v>
      </c>
      <c r="F44" s="3">
        <v>250</v>
      </c>
      <c r="G44" s="3">
        <v>0.97</v>
      </c>
      <c r="H44" s="3">
        <v>0.7</v>
      </c>
      <c r="I44" s="3">
        <v>0.93</v>
      </c>
      <c r="J44" t="s">
        <v>19</v>
      </c>
      <c r="K44" t="s">
        <v>20</v>
      </c>
      <c r="L44">
        <v>3</v>
      </c>
      <c r="M44" t="str">
        <f>TEXT(Table1[[#This Row],[Date]], "mmm")</f>
        <v>May</v>
      </c>
      <c r="N44" t="str">
        <f>"Q"&amp; ROUNDUP(MONTH(Table1[[#This Row],[Date]])/3, 0)</f>
        <v>Q2</v>
      </c>
    </row>
    <row r="45" spans="1:14" x14ac:dyDescent="0.3">
      <c r="A45" s="4">
        <v>45225</v>
      </c>
      <c r="B45" s="3" t="s">
        <v>18</v>
      </c>
      <c r="C45" s="5">
        <v>2200</v>
      </c>
      <c r="D45" s="5">
        <v>914.28571428571399</v>
      </c>
      <c r="E45" s="5">
        <v>714.28571428571433</v>
      </c>
      <c r="F45" s="3">
        <v>240</v>
      </c>
      <c r="G45" s="3">
        <v>0.9</v>
      </c>
      <c r="H45" s="3">
        <v>0.98</v>
      </c>
      <c r="I45" s="3">
        <v>0.96</v>
      </c>
      <c r="J45" t="s">
        <v>19</v>
      </c>
      <c r="K45" t="s">
        <v>23</v>
      </c>
      <c r="L45">
        <v>2</v>
      </c>
      <c r="M45" t="str">
        <f>TEXT(Table1[[#This Row],[Date]], "mmm")</f>
        <v>Oct</v>
      </c>
      <c r="N45" t="str">
        <f>"Q"&amp; ROUNDUP(MONTH(Table1[[#This Row],[Date]])/3, 0)</f>
        <v>Q4</v>
      </c>
    </row>
    <row r="46" spans="1:14" x14ac:dyDescent="0.3">
      <c r="A46" s="4">
        <v>45226</v>
      </c>
      <c r="B46" s="3" t="s">
        <v>12</v>
      </c>
      <c r="C46" s="5">
        <v>2500</v>
      </c>
      <c r="D46" s="5">
        <v>914.28571428571399</v>
      </c>
      <c r="E46" s="5">
        <v>714.28571428571433</v>
      </c>
      <c r="F46" s="3">
        <v>270</v>
      </c>
      <c r="G46" s="3">
        <v>0.9</v>
      </c>
      <c r="H46" s="3">
        <v>0.95</v>
      </c>
      <c r="I46" s="3">
        <v>0.98</v>
      </c>
      <c r="J46" t="s">
        <v>19</v>
      </c>
      <c r="K46" t="s">
        <v>25</v>
      </c>
      <c r="L46">
        <v>3</v>
      </c>
      <c r="M46" t="str">
        <f>TEXT(Table1[[#This Row],[Date]], "mmm")</f>
        <v>Oct</v>
      </c>
      <c r="N46" t="str">
        <f>"Q"&amp; ROUNDUP(MONTH(Table1[[#This Row],[Date]])/3, 0)</f>
        <v>Q4</v>
      </c>
    </row>
    <row r="47" spans="1:14" x14ac:dyDescent="0.3">
      <c r="A47" s="4">
        <v>44954</v>
      </c>
      <c r="B47" s="3" t="s">
        <v>15</v>
      </c>
      <c r="C47" s="5">
        <v>2000</v>
      </c>
      <c r="D47" s="5">
        <v>914.28571428571399</v>
      </c>
      <c r="E47" s="5">
        <v>714.28571428571433</v>
      </c>
      <c r="F47" s="3">
        <v>259</v>
      </c>
      <c r="G47" s="3">
        <v>0.96</v>
      </c>
      <c r="H47" s="3">
        <v>0.81</v>
      </c>
      <c r="I47" s="3">
        <v>0.85</v>
      </c>
      <c r="J47" t="s">
        <v>19</v>
      </c>
      <c r="K47" t="s">
        <v>14</v>
      </c>
      <c r="L47">
        <v>9</v>
      </c>
      <c r="M47" t="str">
        <f>TEXT(Table1[[#This Row],[Date]], "mmm")</f>
        <v>Jan</v>
      </c>
      <c r="N47" t="str">
        <f>"Q"&amp; ROUNDUP(MONTH(Table1[[#This Row],[Date]])/3, 0)</f>
        <v>Q1</v>
      </c>
    </row>
    <row r="48" spans="1:14" x14ac:dyDescent="0.3">
      <c r="A48" s="4">
        <v>44955</v>
      </c>
      <c r="B48" s="3" t="s">
        <v>15</v>
      </c>
      <c r="C48" s="5">
        <v>2500</v>
      </c>
      <c r="D48" s="5">
        <v>914.28571428571399</v>
      </c>
      <c r="E48" s="5">
        <v>714.28571428571433</v>
      </c>
      <c r="F48" s="3">
        <v>260</v>
      </c>
      <c r="G48" s="3">
        <v>0.98</v>
      </c>
      <c r="H48" s="3">
        <v>0.84</v>
      </c>
      <c r="I48" s="3">
        <v>0.89</v>
      </c>
      <c r="J48" t="s">
        <v>19</v>
      </c>
      <c r="K48" t="s">
        <v>14</v>
      </c>
      <c r="L48">
        <v>5</v>
      </c>
      <c r="M48" t="str">
        <f>TEXT(Table1[[#This Row],[Date]], "mmm")</f>
        <v>Jan</v>
      </c>
      <c r="N48" t="str">
        <f>"Q"&amp; ROUNDUP(MONTH(Table1[[#This Row],[Date]])/3, 0)</f>
        <v>Q1</v>
      </c>
    </row>
    <row r="49" spans="1:14" x14ac:dyDescent="0.3">
      <c r="A49" s="4">
        <v>44956</v>
      </c>
      <c r="B49" s="3" t="s">
        <v>15</v>
      </c>
      <c r="C49" s="5">
        <v>2500</v>
      </c>
      <c r="D49" s="5">
        <v>914.28571428571399</v>
      </c>
      <c r="E49" s="5">
        <v>714.28571428571433</v>
      </c>
      <c r="F49" s="3">
        <v>260</v>
      </c>
      <c r="G49" s="3">
        <v>0.76</v>
      </c>
      <c r="H49" s="3">
        <v>0.7</v>
      </c>
      <c r="I49" s="3">
        <v>0.86</v>
      </c>
      <c r="J49" t="s">
        <v>19</v>
      </c>
      <c r="K49" t="s">
        <v>20</v>
      </c>
      <c r="L49">
        <v>6</v>
      </c>
      <c r="M49" t="str">
        <f>TEXT(Table1[[#This Row],[Date]], "mmm")</f>
        <v>Jan</v>
      </c>
      <c r="N49" t="str">
        <f>"Q"&amp; ROUNDUP(MONTH(Table1[[#This Row],[Date]])/3, 0)</f>
        <v>Q1</v>
      </c>
    </row>
    <row r="50" spans="1:14" x14ac:dyDescent="0.3">
      <c r="A50" s="4">
        <v>44957</v>
      </c>
      <c r="B50" s="3" t="s">
        <v>12</v>
      </c>
      <c r="C50" s="5">
        <v>2500</v>
      </c>
      <c r="D50" s="5">
        <v>914.28571428571399</v>
      </c>
      <c r="E50" s="5">
        <v>714.28571428571433</v>
      </c>
      <c r="F50" s="3">
        <v>261</v>
      </c>
      <c r="G50" s="3">
        <v>0.91</v>
      </c>
      <c r="H50" s="3">
        <v>0.77</v>
      </c>
      <c r="I50" s="3">
        <v>0.75</v>
      </c>
      <c r="J50" t="s">
        <v>13</v>
      </c>
      <c r="K50" t="s">
        <v>23</v>
      </c>
      <c r="L50">
        <v>8</v>
      </c>
      <c r="M50" t="str">
        <f>TEXT(Table1[[#This Row],[Date]], "mmm")</f>
        <v>Jan</v>
      </c>
      <c r="N50" t="str">
        <f>"Q"&amp; ROUNDUP(MONTH(Table1[[#This Row],[Date]])/3, 0)</f>
        <v>Q1</v>
      </c>
    </row>
    <row r="51" spans="1:14" x14ac:dyDescent="0.3">
      <c r="A51" s="4">
        <v>45231</v>
      </c>
      <c r="B51" s="3" t="s">
        <v>12</v>
      </c>
      <c r="C51" s="5">
        <v>2500</v>
      </c>
      <c r="D51" s="5">
        <v>914.28571428571399</v>
      </c>
      <c r="E51" s="5">
        <v>714.28571428571433</v>
      </c>
      <c r="F51" s="3">
        <v>242</v>
      </c>
      <c r="G51" s="3">
        <v>0.79</v>
      </c>
      <c r="H51" s="3">
        <v>0.81</v>
      </c>
      <c r="I51" s="3">
        <v>0.74</v>
      </c>
      <c r="J51" t="s">
        <v>16</v>
      </c>
      <c r="K51" t="s">
        <v>25</v>
      </c>
      <c r="L51">
        <v>4</v>
      </c>
      <c r="M51" t="str">
        <f>TEXT(Table1[[#This Row],[Date]], "mmm")</f>
        <v>Nov</v>
      </c>
      <c r="N51" t="str">
        <f>"Q"&amp; ROUNDUP(MONTH(Table1[[#This Row],[Date]])/3, 0)</f>
        <v>Q4</v>
      </c>
    </row>
    <row r="52" spans="1:14" x14ac:dyDescent="0.3">
      <c r="A52" s="4">
        <v>45232</v>
      </c>
      <c r="B52" s="3" t="s">
        <v>12</v>
      </c>
      <c r="C52" s="5">
        <v>2250</v>
      </c>
      <c r="D52" s="5">
        <v>914.28571428571399</v>
      </c>
      <c r="E52" s="5">
        <v>714.28571428571433</v>
      </c>
      <c r="F52" s="3">
        <v>250</v>
      </c>
      <c r="G52" s="3">
        <v>0.85</v>
      </c>
      <c r="H52" s="3">
        <v>0.82</v>
      </c>
      <c r="I52" s="3">
        <v>0.73</v>
      </c>
      <c r="J52" t="s">
        <v>19</v>
      </c>
      <c r="K52" t="s">
        <v>14</v>
      </c>
      <c r="L52">
        <v>3</v>
      </c>
      <c r="M52" t="str">
        <f>TEXT(Table1[[#This Row],[Date]], "mmm")</f>
        <v>Nov</v>
      </c>
      <c r="N52" t="str">
        <f>"Q"&amp; ROUNDUP(MONTH(Table1[[#This Row],[Date]])/3, 0)</f>
        <v>Q4</v>
      </c>
    </row>
    <row r="53" spans="1:14" x14ac:dyDescent="0.3">
      <c r="A53" s="4">
        <v>45233</v>
      </c>
      <c r="B53" s="3" t="s">
        <v>12</v>
      </c>
      <c r="C53" s="5">
        <v>2500</v>
      </c>
      <c r="D53" s="5">
        <v>914.28571428571399</v>
      </c>
      <c r="E53" s="5">
        <v>714.28571428571433</v>
      </c>
      <c r="F53" s="3">
        <v>242</v>
      </c>
      <c r="G53" s="3">
        <v>0.88</v>
      </c>
      <c r="H53" s="3">
        <v>0.84</v>
      </c>
      <c r="I53" s="3">
        <v>0.75</v>
      </c>
      <c r="J53" t="s">
        <v>21</v>
      </c>
      <c r="K53" t="s">
        <v>17</v>
      </c>
      <c r="L53">
        <v>2</v>
      </c>
      <c r="M53" t="str">
        <f>TEXT(Table1[[#This Row],[Date]], "mmm")</f>
        <v>Nov</v>
      </c>
      <c r="N53" t="str">
        <f>"Q"&amp; ROUNDUP(MONTH(Table1[[#This Row],[Date]])/3, 0)</f>
        <v>Q4</v>
      </c>
    </row>
    <row r="54" spans="1:14" x14ac:dyDescent="0.3">
      <c r="A54" s="4">
        <v>45060</v>
      </c>
      <c r="B54" s="3" t="s">
        <v>12</v>
      </c>
      <c r="C54" s="5">
        <v>2500</v>
      </c>
      <c r="D54" s="5">
        <v>914.28571428571399</v>
      </c>
      <c r="E54" s="5">
        <v>714.28571428571433</v>
      </c>
      <c r="F54" s="3">
        <v>242</v>
      </c>
      <c r="G54" s="3">
        <v>0.81</v>
      </c>
      <c r="H54" s="3">
        <v>0.92</v>
      </c>
      <c r="I54" s="3">
        <v>0.91</v>
      </c>
      <c r="J54" t="s">
        <v>13</v>
      </c>
      <c r="K54" t="s">
        <v>20</v>
      </c>
      <c r="L54">
        <v>7</v>
      </c>
      <c r="M54" t="str">
        <f>TEXT(Table1[[#This Row],[Date]], "mmm")</f>
        <v>May</v>
      </c>
      <c r="N54" t="str">
        <f>"Q"&amp; ROUNDUP(MONTH(Table1[[#This Row],[Date]])/3, 0)</f>
        <v>Q2</v>
      </c>
    </row>
    <row r="55" spans="1:14" x14ac:dyDescent="0.3">
      <c r="A55" s="4">
        <v>45225</v>
      </c>
      <c r="B55" s="3" t="s">
        <v>18</v>
      </c>
      <c r="C55" s="5">
        <v>2500</v>
      </c>
      <c r="D55" s="5">
        <v>914.28571428571399</v>
      </c>
      <c r="E55" s="5">
        <v>714.28571428571433</v>
      </c>
      <c r="F55" s="3">
        <v>242</v>
      </c>
      <c r="G55" s="3">
        <v>0.84</v>
      </c>
      <c r="H55" s="3">
        <v>0.73</v>
      </c>
      <c r="I55" s="3">
        <v>0.99</v>
      </c>
      <c r="J55" t="s">
        <v>16</v>
      </c>
      <c r="K55" t="s">
        <v>23</v>
      </c>
      <c r="L55">
        <v>9</v>
      </c>
      <c r="M55" t="str">
        <f>TEXT(Table1[[#This Row],[Date]], "mmm")</f>
        <v>Oct</v>
      </c>
      <c r="N55" t="str">
        <f>"Q"&amp; ROUNDUP(MONTH(Table1[[#This Row],[Date]])/3, 0)</f>
        <v>Q4</v>
      </c>
    </row>
    <row r="56" spans="1:14" x14ac:dyDescent="0.3">
      <c r="A56" s="4">
        <v>44995</v>
      </c>
      <c r="B56" s="3" t="s">
        <v>18</v>
      </c>
      <c r="C56" s="5">
        <v>2500</v>
      </c>
      <c r="D56" s="5">
        <v>914.28571428571399</v>
      </c>
      <c r="E56" s="5">
        <v>714.28571428571433</v>
      </c>
      <c r="F56" s="3">
        <v>240</v>
      </c>
      <c r="G56" s="3">
        <v>0.93</v>
      </c>
      <c r="H56" s="3">
        <v>0.79</v>
      </c>
      <c r="I56" s="3">
        <v>0.72</v>
      </c>
      <c r="J56" t="s">
        <v>19</v>
      </c>
      <c r="K56" t="s">
        <v>25</v>
      </c>
      <c r="L56">
        <v>5</v>
      </c>
      <c r="M56" t="str">
        <f>TEXT(Table1[[#This Row],[Date]], "mmm")</f>
        <v>Mar</v>
      </c>
      <c r="N56" t="str">
        <f>"Q"&amp; ROUNDUP(MONTH(Table1[[#This Row],[Date]])/3, 0)</f>
        <v>Q1</v>
      </c>
    </row>
    <row r="57" spans="1:14" x14ac:dyDescent="0.3">
      <c r="A57" s="4">
        <v>45044</v>
      </c>
      <c r="B57" s="3" t="s">
        <v>18</v>
      </c>
      <c r="C57" s="5">
        <v>2500</v>
      </c>
      <c r="D57" s="5">
        <v>914.28571428571399</v>
      </c>
      <c r="E57" s="5">
        <v>714.28571428571433</v>
      </c>
      <c r="F57" s="3">
        <v>242</v>
      </c>
      <c r="G57" s="3">
        <v>0.84</v>
      </c>
      <c r="H57" s="3">
        <v>0.79</v>
      </c>
      <c r="I57" s="3">
        <v>0.8</v>
      </c>
      <c r="J57" t="s">
        <v>21</v>
      </c>
      <c r="K57" t="s">
        <v>14</v>
      </c>
      <c r="L57">
        <v>6</v>
      </c>
      <c r="M57" t="str">
        <f>TEXT(Table1[[#This Row],[Date]], "mmm")</f>
        <v>Apr</v>
      </c>
      <c r="N57" t="str">
        <f>"Q"&amp; ROUNDUP(MONTH(Table1[[#This Row],[Date]])/3, 0)</f>
        <v>Q2</v>
      </c>
    </row>
    <row r="58" spans="1:14" x14ac:dyDescent="0.3">
      <c r="A58" s="4">
        <v>44945</v>
      </c>
      <c r="B58" s="3" t="s">
        <v>18</v>
      </c>
      <c r="C58" s="5">
        <v>2200</v>
      </c>
      <c r="D58" s="5">
        <v>385.71428571428601</v>
      </c>
      <c r="E58" s="5">
        <v>285.71428571428572</v>
      </c>
      <c r="F58" s="3">
        <v>285</v>
      </c>
      <c r="G58" s="3">
        <v>0.85</v>
      </c>
      <c r="H58" s="3">
        <v>0.91</v>
      </c>
      <c r="I58" s="3">
        <v>0.84</v>
      </c>
      <c r="J58" t="s">
        <v>13</v>
      </c>
      <c r="K58" t="s">
        <v>17</v>
      </c>
      <c r="L58">
        <v>8</v>
      </c>
      <c r="M58" t="str">
        <f>TEXT(Table1[[#This Row],[Date]], "mmm")</f>
        <v>Jan</v>
      </c>
      <c r="N58" t="str">
        <f>"Q"&amp; ROUNDUP(MONTH(Table1[[#This Row],[Date]])/3, 0)</f>
        <v>Q1</v>
      </c>
    </row>
    <row r="59" spans="1:14" x14ac:dyDescent="0.3">
      <c r="A59" s="4">
        <v>45160</v>
      </c>
      <c r="B59" s="3" t="s">
        <v>15</v>
      </c>
      <c r="C59" s="5">
        <v>2150</v>
      </c>
      <c r="D59" s="5">
        <v>385.71428571428601</v>
      </c>
      <c r="E59" s="5">
        <v>285.71428571428572</v>
      </c>
      <c r="F59" s="3">
        <v>275</v>
      </c>
      <c r="G59" s="3">
        <v>0.86</v>
      </c>
      <c r="H59" s="3">
        <v>0.75</v>
      </c>
      <c r="I59" s="3">
        <v>0.96</v>
      </c>
      <c r="J59" t="s">
        <v>19</v>
      </c>
      <c r="K59" t="s">
        <v>20</v>
      </c>
      <c r="L59">
        <v>4</v>
      </c>
      <c r="M59" t="str">
        <f>TEXT(Table1[[#This Row],[Date]], "mmm")</f>
        <v>Aug</v>
      </c>
      <c r="N59" t="str">
        <f>"Q"&amp; ROUNDUP(MONTH(Table1[[#This Row],[Date]])/3, 0)</f>
        <v>Q3</v>
      </c>
    </row>
    <row r="60" spans="1:14" x14ac:dyDescent="0.3">
      <c r="A60" s="4">
        <v>45147</v>
      </c>
      <c r="B60" s="3" t="s">
        <v>24</v>
      </c>
      <c r="C60" s="5">
        <v>2400</v>
      </c>
      <c r="D60" s="5">
        <v>385.71428571428601</v>
      </c>
      <c r="E60" s="5">
        <v>285.71428571428572</v>
      </c>
      <c r="F60" s="3">
        <v>285</v>
      </c>
      <c r="G60" s="3">
        <v>0.96</v>
      </c>
      <c r="H60" s="3">
        <v>0.77</v>
      </c>
      <c r="I60" s="3">
        <v>0.92</v>
      </c>
      <c r="J60" t="s">
        <v>21</v>
      </c>
      <c r="K60" t="s">
        <v>23</v>
      </c>
      <c r="L60">
        <v>3</v>
      </c>
      <c r="M60" t="str">
        <f>TEXT(Table1[[#This Row],[Date]], "mmm")</f>
        <v>Aug</v>
      </c>
      <c r="N60" t="str">
        <f>"Q"&amp; ROUNDUP(MONTH(Table1[[#This Row],[Date]])/3, 0)</f>
        <v>Q3</v>
      </c>
    </row>
    <row r="61" spans="1:14" x14ac:dyDescent="0.3">
      <c r="A61" s="4">
        <v>45078</v>
      </c>
      <c r="B61" s="3" t="s">
        <v>18</v>
      </c>
      <c r="C61" s="5">
        <v>2450</v>
      </c>
      <c r="D61" s="5">
        <v>385.71428571428601</v>
      </c>
      <c r="E61" s="5">
        <v>285.71428571428572</v>
      </c>
      <c r="F61" s="3">
        <v>290</v>
      </c>
      <c r="G61" s="3">
        <v>0.99</v>
      </c>
      <c r="H61" s="3">
        <v>0.97</v>
      </c>
      <c r="I61" s="3">
        <v>0.73</v>
      </c>
      <c r="J61" t="s">
        <v>13</v>
      </c>
      <c r="K61" t="s">
        <v>25</v>
      </c>
      <c r="L61">
        <v>2</v>
      </c>
      <c r="M61" t="str">
        <f>TEXT(Table1[[#This Row],[Date]], "mmm")</f>
        <v>Jun</v>
      </c>
      <c r="N61" t="str">
        <f>"Q"&amp; ROUNDUP(MONTH(Table1[[#This Row],[Date]])/3, 0)</f>
        <v>Q2</v>
      </c>
    </row>
    <row r="62" spans="1:14" x14ac:dyDescent="0.3">
      <c r="A62" s="4">
        <v>44986</v>
      </c>
      <c r="B62" s="3" t="s">
        <v>15</v>
      </c>
      <c r="C62" s="5">
        <v>2500</v>
      </c>
      <c r="D62" s="5">
        <v>385.71428571428601</v>
      </c>
      <c r="E62" s="5">
        <v>285.71428571428572</v>
      </c>
      <c r="F62" s="3">
        <v>310</v>
      </c>
      <c r="G62" s="3">
        <v>0.77</v>
      </c>
      <c r="H62" s="3">
        <v>0.72</v>
      </c>
      <c r="I62" s="3">
        <v>0.85</v>
      </c>
      <c r="J62" t="s">
        <v>16</v>
      </c>
      <c r="K62" t="s">
        <v>14</v>
      </c>
      <c r="L62">
        <v>7</v>
      </c>
      <c r="M62" t="str">
        <f>TEXT(Table1[[#This Row],[Date]], "mmm")</f>
        <v>Mar</v>
      </c>
      <c r="N62" t="str">
        <f>"Q"&amp; ROUNDUP(MONTH(Table1[[#This Row],[Date]])/3, 0)</f>
        <v>Q1</v>
      </c>
    </row>
    <row r="63" spans="1:14" x14ac:dyDescent="0.3">
      <c r="A63" s="4">
        <v>45257</v>
      </c>
      <c r="B63" s="3" t="s">
        <v>24</v>
      </c>
      <c r="C63" s="5">
        <v>2450</v>
      </c>
      <c r="D63" s="5">
        <v>385.71428571428601</v>
      </c>
      <c r="E63" s="5">
        <v>285.71428571428572</v>
      </c>
      <c r="F63" s="3">
        <v>270</v>
      </c>
      <c r="G63" s="3">
        <v>0.77</v>
      </c>
      <c r="H63" s="3">
        <v>0.96</v>
      </c>
      <c r="I63" s="3">
        <v>0.78</v>
      </c>
      <c r="J63" t="s">
        <v>19</v>
      </c>
      <c r="K63" t="s">
        <v>17</v>
      </c>
      <c r="L63">
        <v>9</v>
      </c>
      <c r="M63" t="str">
        <f>TEXT(Table1[[#This Row],[Date]], "mmm")</f>
        <v>Nov</v>
      </c>
      <c r="N63" t="str">
        <f>"Q"&amp; ROUNDUP(MONTH(Table1[[#This Row],[Date]])/3, 0)</f>
        <v>Q4</v>
      </c>
    </row>
    <row r="64" spans="1:14" x14ac:dyDescent="0.3">
      <c r="A64" s="4">
        <v>45213</v>
      </c>
      <c r="B64" s="3" t="s">
        <v>18</v>
      </c>
      <c r="C64" s="5">
        <v>2400</v>
      </c>
      <c r="D64" s="5">
        <v>385.71428571428601</v>
      </c>
      <c r="E64" s="5">
        <v>285.71428571428572</v>
      </c>
      <c r="F64" s="3">
        <v>285</v>
      </c>
      <c r="G64" s="3">
        <v>0.78</v>
      </c>
      <c r="H64" s="3">
        <v>0.8</v>
      </c>
      <c r="I64" s="3">
        <v>0.85</v>
      </c>
      <c r="J64" t="s">
        <v>21</v>
      </c>
      <c r="K64" t="s">
        <v>20</v>
      </c>
      <c r="L64">
        <v>5</v>
      </c>
      <c r="M64" t="str">
        <f>TEXT(Table1[[#This Row],[Date]], "mmm")</f>
        <v>Oct</v>
      </c>
      <c r="N64" t="str">
        <f>"Q"&amp; ROUNDUP(MONTH(Table1[[#This Row],[Date]])/3, 0)</f>
        <v>Q4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AX38"/>
  <sheetViews>
    <sheetView showGridLines="0" topLeftCell="A3" zoomScale="80" zoomScaleNormal="80" workbookViewId="0">
      <selection activeCell="X20" sqref="X20"/>
    </sheetView>
  </sheetViews>
  <sheetFormatPr defaultColWidth="8.77734375" defaultRowHeight="13.8" x14ac:dyDescent="0.25"/>
  <cols>
    <col min="1" max="1" width="33.77734375" style="6" bestFit="1" customWidth="1"/>
    <col min="2" max="2" width="4.6640625" style="6" bestFit="1" customWidth="1"/>
    <col min="3" max="3" width="19.33203125" style="6" bestFit="1" customWidth="1"/>
    <col min="4" max="4" width="4.44140625" style="6" customWidth="1"/>
    <col min="5" max="5" width="14.44140625" style="6" bestFit="1" customWidth="1"/>
    <col min="6" max="6" width="14.88671875" style="6" bestFit="1" customWidth="1"/>
    <col min="7" max="7" width="1.44140625" style="6" customWidth="1"/>
    <col min="8" max="8" width="14.44140625" style="6" bestFit="1" customWidth="1"/>
    <col min="9" max="9" width="12.33203125" style="6" bestFit="1" customWidth="1"/>
    <col min="10" max="10" width="12.77734375" style="6" bestFit="1" customWidth="1"/>
    <col min="11" max="11" width="3.21875" style="6" customWidth="1"/>
    <col min="12" max="12" width="14.44140625" style="6" bestFit="1" customWidth="1"/>
    <col min="13" max="13" width="12.88671875" style="6" bestFit="1" customWidth="1"/>
    <col min="14" max="14" width="5.88671875" style="6" customWidth="1"/>
    <col min="15" max="15" width="14.44140625" style="6" bestFit="1" customWidth="1"/>
    <col min="16" max="16" width="12.33203125" style="6" bestFit="1" customWidth="1"/>
    <col min="17" max="16384" width="8.77734375" style="6"/>
  </cols>
  <sheetData>
    <row r="3" spans="1:50" ht="17.399999999999999" x14ac:dyDescent="0.3">
      <c r="A3" s="14" t="s">
        <v>44</v>
      </c>
      <c r="E3" s="14" t="s">
        <v>49</v>
      </c>
    </row>
    <row r="4" spans="1:50" ht="17.399999999999999" x14ac:dyDescent="0.3">
      <c r="A4" s="22" t="s">
        <v>28</v>
      </c>
      <c r="B4" s="23" t="s">
        <v>42</v>
      </c>
      <c r="C4" s="23" t="s">
        <v>43</v>
      </c>
      <c r="E4" s="22" t="s">
        <v>28</v>
      </c>
      <c r="F4" s="23" t="s">
        <v>45</v>
      </c>
      <c r="H4" s="14" t="s">
        <v>46</v>
      </c>
      <c r="L4" s="14" t="s">
        <v>48</v>
      </c>
      <c r="O4" s="14" t="s">
        <v>51</v>
      </c>
    </row>
    <row r="5" spans="1:50" ht="14.4" x14ac:dyDescent="0.3">
      <c r="A5" s="9" t="s">
        <v>29</v>
      </c>
      <c r="B5" s="25">
        <v>12900</v>
      </c>
      <c r="C5" s="25">
        <v>6000.0000000000009</v>
      </c>
      <c r="E5" s="9" t="s">
        <v>29</v>
      </c>
      <c r="F5" s="24">
        <v>1435</v>
      </c>
      <c r="H5" s="22" t="s">
        <v>28</v>
      </c>
      <c r="I5" s="23" t="s">
        <v>42</v>
      </c>
      <c r="J5" s="23" t="s">
        <v>47</v>
      </c>
      <c r="L5" s="22" t="s">
        <v>28</v>
      </c>
      <c r="M5" s="23" t="s">
        <v>50</v>
      </c>
      <c r="N5"/>
      <c r="O5" s="22" t="s">
        <v>28</v>
      </c>
      <c r="P5" s="23" t="s">
        <v>42</v>
      </c>
    </row>
    <row r="6" spans="1:50" ht="14.4" x14ac:dyDescent="0.3">
      <c r="A6" s="9" t="s">
        <v>30</v>
      </c>
      <c r="B6" s="25">
        <v>11256</v>
      </c>
      <c r="C6" s="25">
        <v>24285.28571428571</v>
      </c>
      <c r="E6" s="9" t="s">
        <v>30</v>
      </c>
      <c r="F6" s="24">
        <v>185</v>
      </c>
      <c r="H6" s="9" t="s">
        <v>12</v>
      </c>
      <c r="I6" s="25">
        <v>50045</v>
      </c>
      <c r="J6" s="25">
        <v>45042.857142857159</v>
      </c>
      <c r="L6" s="9" t="s">
        <v>14</v>
      </c>
      <c r="M6" s="24">
        <v>96</v>
      </c>
      <c r="N6"/>
      <c r="O6" s="9" t="s">
        <v>13</v>
      </c>
      <c r="P6" s="25">
        <v>30381</v>
      </c>
    </row>
    <row r="7" spans="1:50" ht="14.4" x14ac:dyDescent="0.3">
      <c r="A7" s="9" t="s">
        <v>31</v>
      </c>
      <c r="B7" s="25">
        <v>11700</v>
      </c>
      <c r="C7" s="25">
        <v>9714.2857142857156</v>
      </c>
      <c r="E7" s="9" t="s">
        <v>31</v>
      </c>
      <c r="F7" s="24">
        <v>688</v>
      </c>
      <c r="H7" s="9" t="s">
        <v>18</v>
      </c>
      <c r="I7" s="25">
        <v>46112</v>
      </c>
      <c r="J7" s="25">
        <v>29742.857142857156</v>
      </c>
      <c r="L7" s="9" t="s">
        <v>17</v>
      </c>
      <c r="M7" s="24">
        <v>74</v>
      </c>
      <c r="N7"/>
      <c r="O7" s="9" t="s">
        <v>19</v>
      </c>
      <c r="P7" s="25">
        <v>63874</v>
      </c>
    </row>
    <row r="8" spans="1:50" ht="14.4" x14ac:dyDescent="0.3">
      <c r="A8" s="9" t="s">
        <v>32</v>
      </c>
      <c r="B8" s="25">
        <v>10400</v>
      </c>
      <c r="C8" s="25">
        <v>13571.428571428569</v>
      </c>
      <c r="E8" s="9" t="s">
        <v>32</v>
      </c>
      <c r="F8" s="24">
        <v>810</v>
      </c>
      <c r="H8" s="9" t="s">
        <v>15</v>
      </c>
      <c r="I8" s="25">
        <v>38283</v>
      </c>
      <c r="J8" s="25">
        <v>25300.857142857149</v>
      </c>
      <c r="L8" s="9" t="s">
        <v>23</v>
      </c>
      <c r="M8" s="24">
        <v>66</v>
      </c>
      <c r="N8"/>
      <c r="O8" s="9" t="s">
        <v>16</v>
      </c>
      <c r="P8" s="25">
        <v>25744</v>
      </c>
    </row>
    <row r="9" spans="1:50" ht="14.4" x14ac:dyDescent="0.3">
      <c r="A9" s="9" t="s">
        <v>33</v>
      </c>
      <c r="B9" s="25">
        <v>12995</v>
      </c>
      <c r="C9" s="25">
        <v>12571.285714285716</v>
      </c>
      <c r="E9" s="9" t="s">
        <v>33</v>
      </c>
      <c r="F9" s="24">
        <v>850</v>
      </c>
      <c r="H9" s="9" t="s">
        <v>24</v>
      </c>
      <c r="I9" s="25">
        <v>22921</v>
      </c>
      <c r="J9" s="25">
        <v>13214.285714285725</v>
      </c>
      <c r="L9" s="9" t="s">
        <v>20</v>
      </c>
      <c r="M9" s="24">
        <v>59</v>
      </c>
      <c r="N9"/>
      <c r="O9" s="9" t="s">
        <v>21</v>
      </c>
      <c r="P9" s="25">
        <v>23719</v>
      </c>
    </row>
    <row r="10" spans="1:50" ht="14.4" x14ac:dyDescent="0.3">
      <c r="A10" s="9" t="s">
        <v>34</v>
      </c>
      <c r="B10" s="25">
        <v>13450</v>
      </c>
      <c r="C10" s="25">
        <v>12999.999999999998</v>
      </c>
      <c r="E10" s="9" t="s">
        <v>34</v>
      </c>
      <c r="F10" s="24">
        <v>991</v>
      </c>
      <c r="H10" s="9" t="s">
        <v>41</v>
      </c>
      <c r="I10" s="25">
        <v>157361</v>
      </c>
      <c r="J10" s="25">
        <v>113300.85714285719</v>
      </c>
      <c r="K10"/>
      <c r="L10" s="9" t="s">
        <v>25</v>
      </c>
      <c r="M10" s="24">
        <v>41</v>
      </c>
      <c r="N10"/>
      <c r="O10" s="9" t="s">
        <v>22</v>
      </c>
      <c r="P10" s="25">
        <v>13643</v>
      </c>
    </row>
    <row r="11" spans="1:50" ht="14.4" x14ac:dyDescent="0.3">
      <c r="A11" s="9" t="s">
        <v>35</v>
      </c>
      <c r="B11" s="25">
        <v>11000</v>
      </c>
      <c r="C11" s="25">
        <v>20142.85714285713</v>
      </c>
      <c r="E11" s="9" t="s">
        <v>35</v>
      </c>
      <c r="F11" s="24">
        <v>300</v>
      </c>
      <c r="K11"/>
      <c r="L11" s="9" t="s">
        <v>41</v>
      </c>
      <c r="M11" s="24">
        <v>336</v>
      </c>
      <c r="N11"/>
      <c r="O11" s="9" t="s">
        <v>41</v>
      </c>
      <c r="P11" s="25">
        <v>157361</v>
      </c>
    </row>
    <row r="12" spans="1:50" ht="14.4" x14ac:dyDescent="0.3">
      <c r="A12" s="9" t="s">
        <v>36</v>
      </c>
      <c r="B12" s="25">
        <v>17050</v>
      </c>
      <c r="C12" s="25">
        <v>3428.5714285714316</v>
      </c>
      <c r="E12" s="9" t="s">
        <v>36</v>
      </c>
      <c r="F12" s="24">
        <v>646</v>
      </c>
      <c r="K12"/>
    </row>
    <row r="13" spans="1:50" ht="14.4" x14ac:dyDescent="0.3">
      <c r="A13" s="9" t="s">
        <v>37</v>
      </c>
      <c r="B13" s="25">
        <v>3600</v>
      </c>
      <c r="C13" s="25">
        <v>9571.428571428567</v>
      </c>
      <c r="E13" s="9" t="s">
        <v>37</v>
      </c>
      <c r="F13" s="24">
        <v>190</v>
      </c>
      <c r="K13"/>
    </row>
    <row r="14" spans="1:50" ht="14.4" x14ac:dyDescent="0.3">
      <c r="A14" s="9" t="s">
        <v>38</v>
      </c>
      <c r="B14" s="25">
        <v>26729</v>
      </c>
      <c r="C14" s="25">
        <v>30142.428571428576</v>
      </c>
      <c r="E14" s="9" t="s">
        <v>38</v>
      </c>
      <c r="F14" s="24">
        <v>1450</v>
      </c>
      <c r="K14"/>
      <c r="AX14" s="11" t="s">
        <v>60</v>
      </c>
    </row>
    <row r="15" spans="1:50" ht="14.4" x14ac:dyDescent="0.3">
      <c r="A15" s="9" t="s">
        <v>39</v>
      </c>
      <c r="B15" s="25">
        <v>22481</v>
      </c>
      <c r="C15" s="25">
        <v>20857.142857142862</v>
      </c>
      <c r="E15" s="9" t="s">
        <v>39</v>
      </c>
      <c r="F15" s="24">
        <v>1497</v>
      </c>
      <c r="L15"/>
    </row>
    <row r="16" spans="1:50" ht="14.4" x14ac:dyDescent="0.3">
      <c r="A16" s="9" t="s">
        <v>40</v>
      </c>
      <c r="B16" s="25">
        <v>3800</v>
      </c>
      <c r="C16" s="25">
        <v>3714.2857142857147</v>
      </c>
      <c r="E16" s="9" t="s">
        <v>40</v>
      </c>
      <c r="F16" s="24">
        <v>318</v>
      </c>
      <c r="J16" s="7"/>
      <c r="L16"/>
      <c r="M16" s="7"/>
      <c r="N16" s="8"/>
    </row>
    <row r="17" spans="1:15" ht="14.4" x14ac:dyDescent="0.3">
      <c r="A17" s="9" t="s">
        <v>41</v>
      </c>
      <c r="B17" s="24">
        <v>157361</v>
      </c>
      <c r="C17" s="24">
        <v>166999</v>
      </c>
      <c r="E17" s="9" t="s">
        <v>41</v>
      </c>
      <c r="F17" s="24">
        <v>9360</v>
      </c>
      <c r="J17" s="16" t="s">
        <v>28</v>
      </c>
      <c r="K17" s="15" t="s">
        <v>50</v>
      </c>
      <c r="L17" s="17"/>
      <c r="M17" s="16" t="s">
        <v>9</v>
      </c>
      <c r="N17" s="18" t="s">
        <v>62</v>
      </c>
      <c r="O17" s="15"/>
    </row>
    <row r="18" spans="1:15" ht="14.4" x14ac:dyDescent="0.3">
      <c r="J18" s="7" t="str">
        <f xml:space="preserve"> L6</f>
        <v>Speed</v>
      </c>
      <c r="K18" s="6">
        <f xml:space="preserve"> GETPIVOTDATA("Score",$L$5,"Customer Satisfaction",J18)</f>
        <v>96</v>
      </c>
      <c r="L18"/>
      <c r="M18" s="7" t="str">
        <f xml:space="preserve"> O6</f>
        <v>Argentina</v>
      </c>
      <c r="N18" s="8">
        <f xml:space="preserve"> GETPIVOTDATA("Sales",$O$5,"Country",M18)</f>
        <v>30381</v>
      </c>
    </row>
    <row r="19" spans="1:15" ht="17.399999999999999" x14ac:dyDescent="0.3">
      <c r="A19" s="14" t="s">
        <v>59</v>
      </c>
      <c r="J19" s="7" t="str">
        <f t="shared" ref="J19:J22" si="0" xml:space="preserve"> L7</f>
        <v>Quality</v>
      </c>
      <c r="K19" s="6">
        <f t="shared" ref="K19:K22" si="1" xml:space="preserve"> GETPIVOTDATA("Score",$L$5,"Customer Satisfaction",J19)</f>
        <v>74</v>
      </c>
      <c r="L19"/>
      <c r="M19" s="7" t="str">
        <f t="shared" ref="M19:M22" si="2" xml:space="preserve"> O7</f>
        <v>Brazil</v>
      </c>
      <c r="N19" s="8">
        <f t="shared" ref="N19:N22" si="3" xml:space="preserve"> GETPIVOTDATA("Sales",$O$5,"Country",M19)</f>
        <v>63874</v>
      </c>
    </row>
    <row r="20" spans="1:15" ht="14.4" x14ac:dyDescent="0.3">
      <c r="A20" s="22" t="s">
        <v>52</v>
      </c>
      <c r="B20" s="23"/>
      <c r="C20"/>
      <c r="D20"/>
      <c r="J20" s="7" t="str">
        <f xml:space="preserve"> L8</f>
        <v>Service</v>
      </c>
      <c r="K20" s="6">
        <f t="shared" si="1"/>
        <v>66</v>
      </c>
      <c r="L20"/>
      <c r="M20" s="7" t="str">
        <f t="shared" si="2"/>
        <v>Colombia</v>
      </c>
      <c r="N20" s="8">
        <f t="shared" si="3"/>
        <v>25744</v>
      </c>
    </row>
    <row r="21" spans="1:15" ht="14.4" x14ac:dyDescent="0.3">
      <c r="A21" s="9" t="s">
        <v>53</v>
      </c>
      <c r="B21" s="26">
        <v>0.85555555555555574</v>
      </c>
      <c r="C21"/>
      <c r="D21"/>
      <c r="J21" s="7" t="str">
        <f t="shared" si="0"/>
        <v>Hygiene</v>
      </c>
      <c r="K21" s="6">
        <f t="shared" si="1"/>
        <v>59</v>
      </c>
      <c r="L21"/>
      <c r="M21" s="7" t="str">
        <f t="shared" si="2"/>
        <v>Ecuador</v>
      </c>
      <c r="N21" s="8">
        <f t="shared" si="3"/>
        <v>23719</v>
      </c>
    </row>
    <row r="22" spans="1:15" ht="14.4" x14ac:dyDescent="0.3">
      <c r="A22" s="9" t="s">
        <v>54</v>
      </c>
      <c r="B22" s="26">
        <v>0.85492063492063519</v>
      </c>
      <c r="C22"/>
      <c r="D22"/>
      <c r="J22" s="7" t="str">
        <f t="shared" si="0"/>
        <v>Availability</v>
      </c>
      <c r="K22" s="6">
        <f t="shared" si="1"/>
        <v>41</v>
      </c>
      <c r="M22" s="7" t="str">
        <f t="shared" si="2"/>
        <v>Peru</v>
      </c>
      <c r="N22" s="8">
        <f t="shared" si="3"/>
        <v>13643</v>
      </c>
    </row>
    <row r="23" spans="1:15" ht="14.4" x14ac:dyDescent="0.3">
      <c r="A23" s="9" t="s">
        <v>55</v>
      </c>
      <c r="B23" s="26">
        <v>0.8447619047619046</v>
      </c>
      <c r="C23"/>
      <c r="D23"/>
    </row>
    <row r="24" spans="1:15" ht="14.4" x14ac:dyDescent="0.3">
      <c r="A24"/>
      <c r="B24"/>
      <c r="C24"/>
      <c r="D24"/>
    </row>
    <row r="25" spans="1:15" ht="14.4" x14ac:dyDescent="0.3">
      <c r="A25" s="9" t="s">
        <v>53</v>
      </c>
      <c r="B25" s="10">
        <f>IFERROR(GETPIVOTDATA("Average of Sales Completion Rate",$A$21), 0)</f>
        <v>0.85555555555555574</v>
      </c>
      <c r="C25"/>
      <c r="D25"/>
    </row>
    <row r="26" spans="1:15" ht="14.4" x14ac:dyDescent="0.3">
      <c r="A26" s="9" t="s">
        <v>56</v>
      </c>
      <c r="B26" s="10">
        <f>1-B25</f>
        <v>0.14444444444444426</v>
      </c>
      <c r="C26"/>
      <c r="D26"/>
    </row>
    <row r="27" spans="1:15" ht="14.4" x14ac:dyDescent="0.3">
      <c r="A27" s="9" t="s">
        <v>54</v>
      </c>
      <c r="B27" s="10">
        <f>IFERROR(GETPIVOTDATA("Average of Profit Completion Rate",$A$22),0)</f>
        <v>0.85492063492063519</v>
      </c>
      <c r="C27"/>
      <c r="D27"/>
    </row>
    <row r="28" spans="1:15" ht="14.4" x14ac:dyDescent="0.3">
      <c r="A28" s="9" t="s">
        <v>56</v>
      </c>
      <c r="B28" s="10">
        <f>1-B27</f>
        <v>0.14507936507936481</v>
      </c>
      <c r="C28"/>
      <c r="D28"/>
    </row>
    <row r="29" spans="1:15" ht="14.4" x14ac:dyDescent="0.3">
      <c r="A29" s="9" t="s">
        <v>55</v>
      </c>
      <c r="B29" s="10">
        <f>IFERROR(GETPIVOTDATA("Average of Customer Completion Rate",$A$23),0)</f>
        <v>0.8447619047619046</v>
      </c>
      <c r="C29"/>
      <c r="D29"/>
    </row>
    <row r="30" spans="1:15" ht="14.4" x14ac:dyDescent="0.3">
      <c r="A30" s="9" t="s">
        <v>56</v>
      </c>
      <c r="B30" s="10">
        <f>1-B29</f>
        <v>0.1552380952380954</v>
      </c>
      <c r="C30"/>
      <c r="D30"/>
    </row>
    <row r="31" spans="1:15" ht="14.4" x14ac:dyDescent="0.3">
      <c r="A31" s="9" t="s">
        <v>61</v>
      </c>
      <c r="B31" s="10">
        <f>IFERROR((B17/C17),0)</f>
        <v>0.94228707956335067</v>
      </c>
      <c r="C31"/>
      <c r="D31"/>
    </row>
    <row r="32" spans="1:15" ht="14.4" x14ac:dyDescent="0.3">
      <c r="A32" s="9" t="s">
        <v>56</v>
      </c>
      <c r="B32" s="21">
        <f>1-B31</f>
        <v>5.7712920436649329E-2</v>
      </c>
      <c r="C32"/>
      <c r="D32"/>
    </row>
    <row r="33" spans="1:4" ht="14.4" x14ac:dyDescent="0.3">
      <c r="A33"/>
      <c r="B33"/>
      <c r="C33"/>
      <c r="D33"/>
    </row>
    <row r="34" spans="1:4" x14ac:dyDescent="0.25">
      <c r="A34" s="15" t="s">
        <v>57</v>
      </c>
      <c r="B34" s="15" t="s">
        <v>58</v>
      </c>
    </row>
    <row r="35" spans="1:4" x14ac:dyDescent="0.25">
      <c r="A35" s="6" t="s">
        <v>2</v>
      </c>
      <c r="B35" s="11">
        <f>GETPIVOTDATA("Sum of Sales",$A$4)</f>
        <v>157361</v>
      </c>
    </row>
    <row r="36" spans="1:4" x14ac:dyDescent="0.25">
      <c r="A36" s="6" t="s">
        <v>3</v>
      </c>
      <c r="B36" s="11">
        <f>GETPIVOTDATA("Sum of Profit",$H$5)</f>
        <v>113300.85714285719</v>
      </c>
    </row>
    <row r="37" spans="1:4" x14ac:dyDescent="0.25">
      <c r="A37" s="6" t="s">
        <v>5</v>
      </c>
      <c r="B37" s="13">
        <f>GETPIVOTDATA("No of Customers",$E$4)</f>
        <v>9360</v>
      </c>
    </row>
    <row r="38" spans="1:4" x14ac:dyDescent="0.25">
      <c r="A38" s="6" t="s">
        <v>4</v>
      </c>
      <c r="B38" s="12">
        <f>GETPIVOTDATA("Sum of Target Sales",$A$4)</f>
        <v>166999</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tabSelected="1" zoomScale="30" zoomScaleNormal="30" workbookViewId="0">
      <selection activeCell="AY34" sqref="AY34"/>
    </sheetView>
  </sheetViews>
  <sheetFormatPr defaultColWidth="8.77734375" defaultRowHeight="14.4" x14ac:dyDescent="0.3"/>
  <cols>
    <col min="1" max="16384" width="8.77734375" style="1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zoomScale="30" zoomScaleNormal="30" workbookViewId="0">
      <selection activeCell="BF38" sqref="BF38"/>
    </sheetView>
  </sheetViews>
  <sheetFormatPr defaultColWidth="8.77734375" defaultRowHeight="16.8" x14ac:dyDescent="0.5"/>
  <cols>
    <col min="1" max="16384" width="8.77734375" style="20"/>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PivotTable</vt:lpstr>
      <vt:lpstr>Dashboard</vt:lpstr>
      <vt:lpstr>pp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Moorche</cp:lastModifiedBy>
  <dcterms:created xsi:type="dcterms:W3CDTF">2025-01-31T08:22:50Z</dcterms:created>
  <dcterms:modified xsi:type="dcterms:W3CDTF">2025-12-25T10:01:45Z</dcterms:modified>
</cp:coreProperties>
</file>